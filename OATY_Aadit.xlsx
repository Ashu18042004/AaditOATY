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utoshsharma/Desktop/OATY /"/>
    </mc:Choice>
  </mc:AlternateContent>
  <xr:revisionPtr revIDLastSave="0" documentId="8_{E8881245-36A5-3F45-A899-778D97E4B500}" xr6:coauthVersionLast="47" xr6:coauthVersionMax="47" xr10:uidLastSave="{00000000-0000-0000-0000-000000000000}"/>
  <bookViews>
    <workbookView xWindow="3860" yWindow="580" windowWidth="21740" windowHeight="12460" xr2:uid="{D52B6ED4-9E75-4D40-9451-3AE728148D88}"/>
  </bookViews>
  <sheets>
    <sheet name="Appendix 1.1" sheetId="1" r:id="rId1"/>
    <sheet name="Appendix 1.2" sheetId="2" r:id="rId2"/>
    <sheet name="Appendix 1.3" sheetId="3" r:id="rId3"/>
    <sheet name="Appendix 1.5" sheetId="4" r:id="rId4"/>
    <sheet name="Inputs and Assumptions" sheetId="5" r:id="rId5"/>
    <sheet name="Demand" sheetId="6" r:id="rId6"/>
    <sheet name="Capacity Gap" sheetId="7" r:id="rId7"/>
    <sheet name="Inventory" sheetId="8" r:id="rId8"/>
    <sheet name="Overtime Model" sheetId="9" r:id="rId9"/>
    <sheet name="Subcontracting " sheetId="10" r:id="rId10"/>
    <sheet name="Total Cos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1" l="1"/>
  <c r="D6" i="11"/>
  <c r="C6" i="11"/>
  <c r="D4" i="11"/>
  <c r="F15" i="10"/>
  <c r="F4" i="10"/>
  <c r="F5" i="10"/>
  <c r="F6" i="10"/>
  <c r="F7" i="10"/>
  <c r="F8" i="10"/>
  <c r="F9" i="10"/>
  <c r="F10" i="10"/>
  <c r="F11" i="10"/>
  <c r="F12" i="10"/>
  <c r="F13" i="10"/>
  <c r="F14" i="10"/>
  <c r="F3" i="10"/>
  <c r="D4" i="10"/>
  <c r="D5" i="10"/>
  <c r="D6" i="10"/>
  <c r="D7" i="10"/>
  <c r="D8" i="10"/>
  <c r="D9" i="10"/>
  <c r="D10" i="10"/>
  <c r="D11" i="10"/>
  <c r="D12" i="10"/>
  <c r="D13" i="10"/>
  <c r="D14" i="10"/>
  <c r="D3" i="10"/>
  <c r="M5" i="9"/>
  <c r="M6" i="9"/>
  <c r="M7" i="9"/>
  <c r="M8" i="9"/>
  <c r="M9" i="9"/>
  <c r="M10" i="9"/>
  <c r="M11" i="9"/>
  <c r="M12" i="9"/>
  <c r="M13" i="9"/>
  <c r="M14" i="9"/>
  <c r="M15" i="9"/>
  <c r="M4" i="9"/>
  <c r="D2" i="11"/>
  <c r="K16" i="9"/>
  <c r="K5" i="9"/>
  <c r="K6" i="9"/>
  <c r="K7" i="9"/>
  <c r="K8" i="9"/>
  <c r="K9" i="9"/>
  <c r="K10" i="9"/>
  <c r="K11" i="9"/>
  <c r="K12" i="9"/>
  <c r="K13" i="9"/>
  <c r="K14" i="9"/>
  <c r="K15" i="9"/>
  <c r="K4" i="9"/>
  <c r="G7" i="9"/>
  <c r="G11" i="9"/>
  <c r="O10" i="9"/>
  <c r="O11" i="9" s="1"/>
  <c r="F6" i="9" s="1"/>
  <c r="O8" i="9"/>
  <c r="C5" i="9"/>
  <c r="C6" i="9"/>
  <c r="C7" i="9"/>
  <c r="C8" i="9"/>
  <c r="C9" i="9"/>
  <c r="C10" i="9"/>
  <c r="C11" i="9"/>
  <c r="C12" i="9"/>
  <c r="C13" i="9"/>
  <c r="C14" i="9"/>
  <c r="C15" i="9"/>
  <c r="C4" i="9"/>
  <c r="H4" i="8"/>
  <c r="H5" i="8"/>
  <c r="H6" i="8"/>
  <c r="H7" i="8"/>
  <c r="H8" i="8"/>
  <c r="H9" i="8"/>
  <c r="H10" i="8"/>
  <c r="H11" i="8"/>
  <c r="H12" i="8"/>
  <c r="H13" i="8"/>
  <c r="H14" i="8"/>
  <c r="H3" i="8"/>
  <c r="G4" i="8"/>
  <c r="F4" i="8"/>
  <c r="C5" i="8"/>
  <c r="C4" i="8"/>
  <c r="G5" i="8"/>
  <c r="C6" i="8" s="1"/>
  <c r="G6" i="8" s="1"/>
  <c r="C7" i="8" s="1"/>
  <c r="G7" i="8" s="1"/>
  <c r="C8" i="8" s="1"/>
  <c r="G8" i="8" s="1"/>
  <c r="C9" i="8" s="1"/>
  <c r="G9" i="8" s="1"/>
  <c r="C10" i="8" s="1"/>
  <c r="G10" i="8" s="1"/>
  <c r="C11" i="8" s="1"/>
  <c r="G11" i="8" s="1"/>
  <c r="C12" i="8" s="1"/>
  <c r="G12" i="8" s="1"/>
  <c r="C13" i="8" s="1"/>
  <c r="G13" i="8" s="1"/>
  <c r="C14" i="8" s="1"/>
  <c r="G14" i="8" s="1"/>
  <c r="G3" i="8"/>
  <c r="F5" i="8"/>
  <c r="F6" i="8"/>
  <c r="F7" i="8"/>
  <c r="F8" i="8"/>
  <c r="F9" i="8"/>
  <c r="F10" i="8"/>
  <c r="F11" i="8"/>
  <c r="F12" i="8"/>
  <c r="F13" i="8"/>
  <c r="F14" i="8"/>
  <c r="F3" i="8"/>
  <c r="C3" i="8"/>
  <c r="D4" i="8"/>
  <c r="D5" i="8"/>
  <c r="D6" i="8"/>
  <c r="D7" i="8"/>
  <c r="D8" i="8"/>
  <c r="D9" i="8"/>
  <c r="D10" i="8"/>
  <c r="D11" i="8"/>
  <c r="D12" i="8"/>
  <c r="D13" i="8"/>
  <c r="D14" i="8"/>
  <c r="D3" i="8"/>
  <c r="E4" i="8"/>
  <c r="E5" i="8"/>
  <c r="E6" i="8"/>
  <c r="E7" i="8"/>
  <c r="E8" i="8"/>
  <c r="E9" i="8"/>
  <c r="E10" i="8"/>
  <c r="E11" i="8"/>
  <c r="E12" i="8"/>
  <c r="E13" i="8"/>
  <c r="E14" i="8"/>
  <c r="E3" i="8"/>
  <c r="J4" i="7"/>
  <c r="J5" i="7"/>
  <c r="J6" i="7"/>
  <c r="J7" i="7"/>
  <c r="J8" i="7"/>
  <c r="J9" i="7"/>
  <c r="J10" i="7"/>
  <c r="J11" i="7"/>
  <c r="J12" i="7"/>
  <c r="J13" i="7"/>
  <c r="J14" i="7"/>
  <c r="J3" i="7"/>
  <c r="I4" i="7"/>
  <c r="I5" i="7"/>
  <c r="I6" i="7"/>
  <c r="I7" i="7"/>
  <c r="I8" i="7"/>
  <c r="I9" i="7"/>
  <c r="I10" i="7"/>
  <c r="I11" i="7"/>
  <c r="I12" i="7"/>
  <c r="I13" i="7"/>
  <c r="I14" i="7"/>
  <c r="I3" i="7"/>
  <c r="F4" i="7"/>
  <c r="F5" i="7"/>
  <c r="F6" i="7"/>
  <c r="F7" i="7"/>
  <c r="F8" i="7"/>
  <c r="F9" i="7"/>
  <c r="F10" i="7"/>
  <c r="F11" i="7"/>
  <c r="F12" i="7"/>
  <c r="F13" i="7"/>
  <c r="F14" i="7"/>
  <c r="F3" i="7"/>
  <c r="E4" i="7"/>
  <c r="E5" i="7"/>
  <c r="E6" i="7"/>
  <c r="E7" i="7"/>
  <c r="E8" i="7"/>
  <c r="E9" i="7"/>
  <c r="E10" i="7"/>
  <c r="E11" i="7"/>
  <c r="E12" i="7"/>
  <c r="E13" i="7"/>
  <c r="E14" i="7"/>
  <c r="E3" i="7"/>
  <c r="H3" i="7"/>
  <c r="H4" i="7"/>
  <c r="H5" i="7"/>
  <c r="H6" i="7"/>
  <c r="H7" i="7"/>
  <c r="H8" i="7"/>
  <c r="H9" i="7"/>
  <c r="H10" i="7"/>
  <c r="H11" i="7"/>
  <c r="H12" i="7"/>
  <c r="H13" i="7"/>
  <c r="H14" i="7"/>
  <c r="F4" i="6"/>
  <c r="F5" i="6"/>
  <c r="F6" i="6"/>
  <c r="F7" i="6"/>
  <c r="F8" i="6"/>
  <c r="F9" i="6"/>
  <c r="F10" i="6"/>
  <c r="F11" i="6"/>
  <c r="F12" i="6"/>
  <c r="F13" i="6"/>
  <c r="F14" i="6"/>
  <c r="F3" i="6"/>
  <c r="G13" i="9" l="1"/>
  <c r="G12" i="9"/>
  <c r="G5" i="9"/>
  <c r="G4" i="9"/>
  <c r="G15" i="9"/>
  <c r="G14" i="9"/>
  <c r="G10" i="9"/>
  <c r="G9" i="9"/>
  <c r="G8" i="9"/>
  <c r="G6" i="9"/>
  <c r="E8" i="9"/>
  <c r="E7" i="9"/>
  <c r="E6" i="9"/>
  <c r="H6" i="9" s="1"/>
  <c r="F4" i="9"/>
  <c r="F15" i="9"/>
  <c r="F14" i="9"/>
  <c r="E14" i="9"/>
  <c r="H14" i="9" s="1"/>
  <c r="F12" i="9"/>
  <c r="E13" i="9"/>
  <c r="F11" i="9"/>
  <c r="E4" i="9"/>
  <c r="F13" i="9"/>
  <c r="E12" i="9"/>
  <c r="F10" i="9"/>
  <c r="E15" i="9"/>
  <c r="E11" i="9"/>
  <c r="F8" i="9"/>
  <c r="E10" i="9"/>
  <c r="F7" i="9"/>
  <c r="E9" i="9"/>
  <c r="F9" i="9"/>
  <c r="E5" i="9"/>
  <c r="F5" i="9"/>
  <c r="J6" i="9" l="1"/>
  <c r="L6" i="9" s="1"/>
  <c r="C5" i="10" s="1"/>
  <c r="I6" i="9"/>
  <c r="I14" i="9"/>
  <c r="H5" i="9"/>
  <c r="I5" i="9" s="1"/>
  <c r="H4" i="9"/>
  <c r="H9" i="9"/>
  <c r="H13" i="9"/>
  <c r="H10" i="9"/>
  <c r="H11" i="9"/>
  <c r="H15" i="9"/>
  <c r="H7" i="9"/>
  <c r="H12" i="9"/>
  <c r="H8" i="9"/>
  <c r="I8" i="9" s="1"/>
  <c r="J8" i="9"/>
  <c r="L8" i="9" s="1"/>
  <c r="C7" i="10" s="1"/>
  <c r="E7" i="10" s="1"/>
  <c r="G7" i="10" s="1"/>
  <c r="J5" i="9"/>
  <c r="L5" i="9" s="1"/>
  <c r="C4" i="10" s="1"/>
  <c r="E4" i="10" s="1"/>
  <c r="G4" i="10" s="1"/>
  <c r="J14" i="9"/>
  <c r="L14" i="9" s="1"/>
  <c r="C13" i="10" s="1"/>
  <c r="E13" i="10" s="1"/>
  <c r="G13" i="10" s="1"/>
  <c r="E5" i="10"/>
  <c r="G5" i="10" s="1"/>
  <c r="J12" i="9" l="1"/>
  <c r="L12" i="9" s="1"/>
  <c r="C11" i="10" s="1"/>
  <c r="E11" i="10" s="1"/>
  <c r="G11" i="10" s="1"/>
  <c r="I12" i="9"/>
  <c r="J7" i="9"/>
  <c r="L7" i="9" s="1"/>
  <c r="C6" i="10" s="1"/>
  <c r="E6" i="10" s="1"/>
  <c r="G6" i="10" s="1"/>
  <c r="I7" i="9"/>
  <c r="J15" i="9"/>
  <c r="L15" i="9" s="1"/>
  <c r="C14" i="10" s="1"/>
  <c r="E14" i="10" s="1"/>
  <c r="G14" i="10" s="1"/>
  <c r="I15" i="9"/>
  <c r="J11" i="9"/>
  <c r="L11" i="9" s="1"/>
  <c r="C10" i="10" s="1"/>
  <c r="E10" i="10" s="1"/>
  <c r="G10" i="10" s="1"/>
  <c r="I11" i="9"/>
  <c r="J10" i="9"/>
  <c r="L10" i="9" s="1"/>
  <c r="C9" i="10" s="1"/>
  <c r="E9" i="10" s="1"/>
  <c r="G9" i="10" s="1"/>
  <c r="I10" i="9"/>
  <c r="J13" i="9"/>
  <c r="L13" i="9" s="1"/>
  <c r="C12" i="10" s="1"/>
  <c r="E12" i="10" s="1"/>
  <c r="G12" i="10" s="1"/>
  <c r="I13" i="9"/>
  <c r="J9" i="9"/>
  <c r="L9" i="9" s="1"/>
  <c r="C8" i="10" s="1"/>
  <c r="E8" i="10" s="1"/>
  <c r="G8" i="10" s="1"/>
  <c r="I9" i="9"/>
  <c r="J4" i="9"/>
  <c r="L4" i="9" s="1"/>
  <c r="C3" i="10" s="1"/>
  <c r="E3" i="10" s="1"/>
  <c r="I4" i="9"/>
  <c r="J16" i="9" l="1"/>
  <c r="C2" i="11" s="1"/>
  <c r="G3" i="10"/>
  <c r="E15" i="10"/>
  <c r="C4" i="11" s="1"/>
</calcChain>
</file>

<file path=xl/sharedStrings.xml><?xml version="1.0" encoding="utf-8"?>
<sst xmlns="http://schemas.openxmlformats.org/spreadsheetml/2006/main" count="220" uniqueCount="98">
  <si>
    <t>Actual average weekly orders (rounded) in unit drives 1999</t>
  </si>
  <si>
    <t>Month</t>
  </si>
  <si>
    <t>Consumer</t>
  </si>
  <si>
    <t>PC</t>
  </si>
  <si>
    <t>Professional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</si>
  <si>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</si>
  <si>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</si>
  <si>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</si>
  <si>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</si>
  <si>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</si>
  <si>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</si>
  <si>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</si>
  <si>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</si>
  <si>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</si>
  <si>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</si>
  <si>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</si>
  <si>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</si>
  <si>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</si>
  <si>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Forecast and actual factory loading in standard hours/week </t>
  </si>
  <si>
    <t>Sales/Prodn meetings at…</t>
  </si>
  <si>
    <t>19.1.99</t>
  </si>
  <si>
    <t>14500 (14850)</t>
  </si>
  <si>
    <t>30.1.99</t>
  </si>
  <si>
    <t>14000 (14500)</t>
  </si>
  <si>
    <t>27.2.99</t>
  </si>
  <si>
    <t>16000 (16150)</t>
  </si>
  <si>
    <t>2.4.99</t>
  </si>
  <si>
    <t>18900 (19200)</t>
  </si>
  <si>
    <t>30.4.99</t>
  </si>
  <si>
    <t>15100 (15400)</t>
  </si>
  <si>
    <t>9.6.99</t>
  </si>
  <si>
    <t>13600 (13600)</t>
  </si>
  <si>
    <t>24.6.99</t>
  </si>
  <si>
    <t>13100 (13300)</t>
  </si>
  <si>
    <t>29.7.99</t>
  </si>
  <si>
    <t>13100 (13000)</t>
  </si>
  <si>
    <t>3.9.99</t>
  </si>
  <si>
    <t>13900 (13900)</t>
  </si>
  <si>
    <t>7.10.99</t>
  </si>
  <si>
    <t>14900 (14700)</t>
  </si>
  <si>
    <t>4.11.99</t>
  </si>
  <si>
    <t>15100 (15150)</t>
  </si>
  <si>
    <t>2.12.99</t>
  </si>
  <si>
    <t>20100 (21500)</t>
  </si>
  <si>
    <t>Average weekly sales forecast for 2000 in unit drives (as of January 2000)</t>
  </si>
  <si>
    <t>2000 Volume planning (all figures are in unit drives)</t>
  </si>
  <si>
    <t>Forecast</t>
  </si>
  <si>
    <t>Production weeks</t>
  </si>
  <si>
    <t>Sales weeks</t>
  </si>
  <si>
    <t>Average weekly demand</t>
  </si>
  <si>
    <t>Total months' demand</t>
  </si>
  <si>
    <t>Cumulative demand</t>
  </si>
  <si>
    <t>15 150</t>
  </si>
  <si>
    <t>12 150</t>
  </si>
  <si>
    <t>23 500</t>
  </si>
  <si>
    <t>Weekly Capacity (5 days)</t>
  </si>
  <si>
    <t>Inventory Holding Cost</t>
  </si>
  <si>
    <t>Overtime Cost (Sunday)</t>
  </si>
  <si>
    <t>Subcontracting Cost</t>
  </si>
  <si>
    <t>Warehouse Capacity</t>
  </si>
  <si>
    <t>Given Facts</t>
  </si>
  <si>
    <t>Assumptions</t>
  </si>
  <si>
    <t>Opening Inventory</t>
  </si>
  <si>
    <t>Total Demand</t>
  </si>
  <si>
    <t>Base Weekly Production</t>
  </si>
  <si>
    <t>Total Monthly Demand</t>
  </si>
  <si>
    <t>Total Montly Production</t>
  </si>
  <si>
    <t>Total Montly Gap</t>
  </si>
  <si>
    <t>Base Montly Production</t>
  </si>
  <si>
    <t>Total Montly Demand</t>
  </si>
  <si>
    <t>Inventory Increase/Decrease</t>
  </si>
  <si>
    <t>Closing Inventory</t>
  </si>
  <si>
    <t>Warehouse Capacity Check</t>
  </si>
  <si>
    <t>Unmet Demand</t>
  </si>
  <si>
    <t>Overtime Capacity Calculation</t>
  </si>
  <si>
    <t>Weekday</t>
  </si>
  <si>
    <t>Saturday</t>
  </si>
  <si>
    <t>hrs/day</t>
  </si>
  <si>
    <t>Sunday</t>
  </si>
  <si>
    <t>Total Weekly OT</t>
  </si>
  <si>
    <t>Daily Production (8 hrs)</t>
  </si>
  <si>
    <t>Hourly Production</t>
  </si>
  <si>
    <t>Max Overtime Capacity in hrs (Weekly OT capacity*Production Weeks)</t>
  </si>
  <si>
    <t>Subcontracted Cost</t>
  </si>
  <si>
    <t>Overtime Cost</t>
  </si>
  <si>
    <t>Production Weeks</t>
  </si>
  <si>
    <t>hrs/week</t>
  </si>
  <si>
    <t>Overtime Cost (Weekdays and Saturday)</t>
  </si>
  <si>
    <t>Max OT Capacity(W/o Sunday)</t>
  </si>
  <si>
    <t>Max OT Capacity(With Sunday)</t>
  </si>
  <si>
    <t>Overtime Units used(W/o Sunday)</t>
  </si>
  <si>
    <t>Overtime Units used(With Sunday)</t>
  </si>
  <si>
    <t>Without Sunday</t>
  </si>
  <si>
    <t>With Sunday</t>
  </si>
  <si>
    <t>Remaining Unmet Demand(W/o Sunday)</t>
  </si>
  <si>
    <t>Remaining Unmet Demand(With Sunday)</t>
  </si>
  <si>
    <t>Remaining Unmet Demand (With Sunday)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</si>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</sst>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EAEAEA"/>
      </left>
      <right/>
      <top style="medium">
        <color rgb="FFEAEAEA"/>
      </top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/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 textRotation="90" wrapText="1"/>
    </xf>
    <xf numFmtId="0" fontId="4" fillId="0" borderId="6" xfId="0" applyFont="1" applyBorder="1" applyAlignment="1">
      <alignment vertical="center" textRotation="90" wrapText="1"/>
    </xf>
    <xf numFmtId="0" fontId="4" fillId="0" borderId="0" xfId="0" applyFont="1" applyAlignment="1">
      <alignment vertical="center" textRotation="90" wrapText="1"/>
    </xf>
    <xf numFmtId="0" fontId="1" fillId="0" borderId="0" xfId="0" applyFont="1" applyAlignment="1">
      <alignment textRotation="90" wrapText="1"/>
    </xf>
    <xf numFmtId="0" fontId="4" fillId="0" borderId="7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CDA3-D43F-4B99-8BFF-F74B83DCB138}">
  <dimension ref="A1:E15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5" width="15.83203125" customWidth="1"/>
  </cols>
  <sheetData>
    <row r="1" spans="1:5" ht="16" x14ac:dyDescent="0.2">
      <c r="A1" s="29" t="s">
        <v>0</v>
      </c>
      <c r="B1" s="29"/>
      <c r="C1" s="29"/>
      <c r="D1" s="29"/>
      <c r="E1" s="29"/>
    </row>
    <row r="2" spans="1:5" ht="17" thickBot="1" x14ac:dyDescent="0.25">
      <c r="A2" s="1"/>
      <c r="B2" s="1"/>
      <c r="C2" s="1"/>
      <c r="D2" s="1"/>
      <c r="E2" s="1"/>
    </row>
    <row r="3" spans="1:5" ht="17" thickBo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6" thickBot="1" x14ac:dyDescent="0.25">
      <c r="A4" s="3" t="s">
        <v>6</v>
      </c>
      <c r="B4" s="21">
        <v>5500</v>
      </c>
      <c r="C4" s="21">
        <v>7950</v>
      </c>
      <c r="D4" s="21">
        <v>2750</v>
      </c>
      <c r="E4" s="22">
        <v>16200</v>
      </c>
    </row>
    <row r="5" spans="1:5" ht="16" thickBot="1" x14ac:dyDescent="0.25">
      <c r="A5" s="3" t="s">
        <v>7</v>
      </c>
      <c r="B5" s="21">
        <v>5190</v>
      </c>
      <c r="C5" s="21">
        <v>7560</v>
      </c>
      <c r="D5" s="21">
        <v>2650</v>
      </c>
      <c r="E5" s="22">
        <v>15400</v>
      </c>
    </row>
    <row r="6" spans="1:5" ht="16" thickBot="1" x14ac:dyDescent="0.25">
      <c r="A6" s="3" t="s">
        <v>8</v>
      </c>
      <c r="B6" s="21">
        <v>5950</v>
      </c>
      <c r="C6" s="21">
        <v>8800</v>
      </c>
      <c r="D6" s="21">
        <v>3050</v>
      </c>
      <c r="E6" s="22">
        <v>17800</v>
      </c>
    </row>
    <row r="7" spans="1:5" ht="16" thickBot="1" x14ac:dyDescent="0.25">
      <c r="A7" s="3" t="s">
        <v>9</v>
      </c>
      <c r="B7" s="21">
        <v>7100</v>
      </c>
      <c r="C7" s="21">
        <v>10400</v>
      </c>
      <c r="D7" s="21">
        <v>3500</v>
      </c>
      <c r="E7" s="22">
        <v>21000</v>
      </c>
    </row>
    <row r="8" spans="1:5" ht="16" thickBot="1" x14ac:dyDescent="0.25">
      <c r="A8" s="3" t="s">
        <v>10</v>
      </c>
      <c r="B8" s="21">
        <v>5500</v>
      </c>
      <c r="C8" s="21">
        <v>8300</v>
      </c>
      <c r="D8" s="21">
        <v>2700</v>
      </c>
      <c r="E8" s="22">
        <v>16500</v>
      </c>
    </row>
    <row r="9" spans="1:5" ht="16" thickBot="1" x14ac:dyDescent="0.25">
      <c r="A9" s="3" t="s">
        <v>11</v>
      </c>
      <c r="B9" s="21">
        <v>5050</v>
      </c>
      <c r="C9" s="21">
        <v>7250</v>
      </c>
      <c r="D9" s="21">
        <v>2500</v>
      </c>
      <c r="E9" s="22">
        <v>14800</v>
      </c>
    </row>
    <row r="10" spans="1:5" ht="16" thickBot="1" x14ac:dyDescent="0.25">
      <c r="A10" s="3" t="s">
        <v>12</v>
      </c>
      <c r="B10" s="21">
        <v>4900</v>
      </c>
      <c r="C10" s="21">
        <v>7190</v>
      </c>
      <c r="D10" s="21">
        <v>2410</v>
      </c>
      <c r="E10" s="22">
        <v>14500</v>
      </c>
    </row>
    <row r="11" spans="1:5" ht="16" thickBot="1" x14ac:dyDescent="0.25">
      <c r="A11" s="3" t="s">
        <v>13</v>
      </c>
      <c r="B11" s="21">
        <v>4750</v>
      </c>
      <c r="C11" s="21">
        <v>7050</v>
      </c>
      <c r="D11" s="21">
        <v>2350</v>
      </c>
      <c r="E11" s="22">
        <v>14150</v>
      </c>
    </row>
    <row r="12" spans="1:5" ht="16" thickBot="1" x14ac:dyDescent="0.25">
      <c r="A12" s="3" t="s">
        <v>14</v>
      </c>
      <c r="B12" s="21">
        <v>5050</v>
      </c>
      <c r="C12" s="21">
        <v>7550</v>
      </c>
      <c r="D12" s="21">
        <v>2550</v>
      </c>
      <c r="E12" s="22" t="s">
        <v>52</v>
      </c>
    </row>
    <row r="13" spans="1:5" ht="16" thickBot="1" x14ac:dyDescent="0.25">
      <c r="A13" s="3" t="s">
        <v>15</v>
      </c>
      <c r="B13" s="21">
        <v>5600</v>
      </c>
      <c r="C13" s="21">
        <v>7750</v>
      </c>
      <c r="D13" s="21">
        <v>2700</v>
      </c>
      <c r="E13" s="22">
        <v>16050</v>
      </c>
    </row>
    <row r="14" spans="1:5" ht="16" thickBot="1" x14ac:dyDescent="0.25">
      <c r="A14" s="3" t="s">
        <v>16</v>
      </c>
      <c r="B14" s="21">
        <v>5150</v>
      </c>
      <c r="C14" s="21">
        <v>8800</v>
      </c>
      <c r="D14" s="21">
        <v>2600</v>
      </c>
      <c r="E14" s="22">
        <v>16550</v>
      </c>
    </row>
    <row r="15" spans="1:5" ht="16" thickBot="1" x14ac:dyDescent="0.25">
      <c r="A15" s="5" t="s">
        <v>17</v>
      </c>
      <c r="B15" s="23">
        <v>7550</v>
      </c>
      <c r="C15" s="23" t="s">
        <v>53</v>
      </c>
      <c r="D15" s="23">
        <v>3800</v>
      </c>
      <c r="E15" s="24" t="s">
        <v>54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70F4-96DA-4030-820D-95260BF23B01}">
  <dimension ref="A1:O13"/>
  <sheetViews>
    <sheetView workbookViewId="0">
      <selection activeCell="C10" sqref="C10"/>
    </sheetView>
  </sheetViews>
  <sheetFormatPr baseColWidth="10" defaultColWidth="8.83203125" defaultRowHeight="15" x14ac:dyDescent="0.2"/>
  <sheetData>
    <row r="1" spans="1:15" ht="115" thickBot="1" x14ac:dyDescent="0.25">
      <c r="A1" s="30" t="s">
        <v>18</v>
      </c>
      <c r="B1" s="31">
        <v>1999</v>
      </c>
      <c r="C1" s="8" t="s">
        <v>19</v>
      </c>
      <c r="D1" s="9" t="s">
        <v>20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36" thickBot="1" x14ac:dyDescent="0.25">
      <c r="A2" s="30"/>
      <c r="B2" s="32"/>
      <c r="C2" s="11" t="s">
        <v>6</v>
      </c>
      <c r="D2" s="12" t="s">
        <v>21</v>
      </c>
      <c r="E2" s="7" t="s">
        <v>22</v>
      </c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36" thickBot="1" x14ac:dyDescent="0.25">
      <c r="A3" s="30"/>
      <c r="B3" s="32"/>
      <c r="C3" s="11" t="s">
        <v>7</v>
      </c>
      <c r="D3" s="14">
        <v>15050</v>
      </c>
      <c r="E3" s="12" t="s">
        <v>23</v>
      </c>
      <c r="F3" s="7" t="s">
        <v>24</v>
      </c>
      <c r="G3" s="13"/>
      <c r="H3" s="13"/>
      <c r="I3" s="13"/>
      <c r="J3" s="13"/>
      <c r="K3" s="13"/>
      <c r="L3" s="13"/>
      <c r="M3" s="13"/>
      <c r="N3" s="13"/>
      <c r="O3" s="13"/>
    </row>
    <row r="4" spans="1:15" ht="36" thickBot="1" x14ac:dyDescent="0.25">
      <c r="A4" s="30"/>
      <c r="B4" s="32"/>
      <c r="C4" s="11" t="s">
        <v>8</v>
      </c>
      <c r="D4" s="14">
        <v>15900</v>
      </c>
      <c r="E4" s="14">
        <v>16500</v>
      </c>
      <c r="F4" s="12" t="s">
        <v>25</v>
      </c>
      <c r="G4" s="7" t="s">
        <v>26</v>
      </c>
      <c r="H4" s="13"/>
      <c r="I4" s="13"/>
      <c r="J4" s="13"/>
      <c r="K4" s="13"/>
      <c r="L4" s="13"/>
      <c r="M4" s="13"/>
      <c r="N4" s="13"/>
      <c r="O4" s="13"/>
    </row>
    <row r="5" spans="1:15" ht="36" thickBot="1" x14ac:dyDescent="0.25">
      <c r="A5" s="30"/>
      <c r="B5" s="33"/>
      <c r="C5" s="11" t="s">
        <v>9</v>
      </c>
      <c r="D5" s="14">
        <v>20500</v>
      </c>
      <c r="E5" s="14">
        <v>20000</v>
      </c>
      <c r="F5" s="14">
        <v>19200</v>
      </c>
      <c r="G5" s="12" t="s">
        <v>27</v>
      </c>
      <c r="H5" s="7" t="s">
        <v>28</v>
      </c>
      <c r="I5" s="13"/>
      <c r="J5" s="13"/>
      <c r="K5" s="13"/>
      <c r="L5" s="13"/>
      <c r="M5" s="13"/>
      <c r="N5" s="13"/>
      <c r="O5" s="13"/>
    </row>
    <row r="6" spans="1:15" ht="36" thickBot="1" x14ac:dyDescent="0.25">
      <c r="A6" s="30"/>
      <c r="B6" s="13"/>
      <c r="C6" s="13"/>
      <c r="D6" s="7" t="s">
        <v>10</v>
      </c>
      <c r="E6" s="15">
        <v>17050</v>
      </c>
      <c r="F6" s="14">
        <v>16600</v>
      </c>
      <c r="G6" s="14">
        <v>15900</v>
      </c>
      <c r="H6" s="12" t="s">
        <v>29</v>
      </c>
      <c r="I6" s="7" t="s">
        <v>30</v>
      </c>
      <c r="J6" s="13"/>
      <c r="K6" s="13"/>
      <c r="L6" s="13"/>
      <c r="M6" s="13"/>
      <c r="N6" s="13"/>
      <c r="O6" s="13"/>
    </row>
    <row r="7" spans="1:15" ht="36" thickBot="1" x14ac:dyDescent="0.25">
      <c r="A7" s="30"/>
      <c r="B7" s="13"/>
      <c r="C7" s="13"/>
      <c r="D7" s="13"/>
      <c r="E7" s="7" t="s">
        <v>11</v>
      </c>
      <c r="F7" s="15">
        <v>14300</v>
      </c>
      <c r="G7" s="14">
        <v>14100</v>
      </c>
      <c r="H7" s="14">
        <v>13500</v>
      </c>
      <c r="I7" s="12" t="s">
        <v>31</v>
      </c>
      <c r="J7" s="7" t="s">
        <v>32</v>
      </c>
      <c r="K7" s="13"/>
      <c r="L7" s="13"/>
      <c r="M7" s="13"/>
      <c r="N7" s="13"/>
      <c r="O7" s="13"/>
    </row>
    <row r="8" spans="1:15" ht="36" thickBot="1" x14ac:dyDescent="0.25">
      <c r="A8" s="30"/>
      <c r="B8" s="13"/>
      <c r="C8" s="13"/>
      <c r="D8" s="13"/>
      <c r="E8" s="13"/>
      <c r="F8" s="7" t="s">
        <v>12</v>
      </c>
      <c r="G8" s="15">
        <v>15000</v>
      </c>
      <c r="H8" s="14">
        <v>13500</v>
      </c>
      <c r="I8" s="14">
        <v>13200</v>
      </c>
      <c r="J8" s="12" t="s">
        <v>33</v>
      </c>
      <c r="K8" s="7" t="s">
        <v>34</v>
      </c>
      <c r="L8" s="13"/>
      <c r="M8" s="13"/>
      <c r="N8" s="13"/>
      <c r="O8" s="13"/>
    </row>
    <row r="9" spans="1:15" ht="36" thickBot="1" x14ac:dyDescent="0.25">
      <c r="A9" s="16"/>
      <c r="B9" s="13"/>
      <c r="C9" s="13"/>
      <c r="D9" s="13"/>
      <c r="E9" s="13"/>
      <c r="F9" s="13"/>
      <c r="G9" s="7" t="s">
        <v>13</v>
      </c>
      <c r="H9" s="15">
        <v>13100</v>
      </c>
      <c r="I9" s="14">
        <v>13000</v>
      </c>
      <c r="J9" s="14">
        <v>12700</v>
      </c>
      <c r="K9" s="12" t="s">
        <v>35</v>
      </c>
      <c r="L9" s="7" t="s">
        <v>36</v>
      </c>
      <c r="M9" s="13"/>
      <c r="N9" s="13"/>
      <c r="O9" s="13"/>
    </row>
    <row r="10" spans="1:15" ht="36" thickBot="1" x14ac:dyDescent="0.25">
      <c r="A10" s="16"/>
      <c r="B10" s="13"/>
      <c r="C10" s="13"/>
      <c r="D10" s="13"/>
      <c r="E10" s="13"/>
      <c r="F10" s="13"/>
      <c r="G10" s="13"/>
      <c r="H10" s="7" t="s">
        <v>14</v>
      </c>
      <c r="I10" s="15">
        <v>14200</v>
      </c>
      <c r="J10" s="14">
        <v>14000</v>
      </c>
      <c r="K10" s="14">
        <v>14000</v>
      </c>
      <c r="L10" s="12" t="s">
        <v>37</v>
      </c>
      <c r="M10" s="7" t="s">
        <v>38</v>
      </c>
      <c r="N10" s="13"/>
      <c r="O10" s="13"/>
    </row>
    <row r="11" spans="1:15" ht="36" thickBot="1" x14ac:dyDescent="0.25">
      <c r="A11" s="16"/>
      <c r="B11" s="13"/>
      <c r="C11" s="13"/>
      <c r="D11" s="13"/>
      <c r="E11" s="13"/>
      <c r="F11" s="13"/>
      <c r="G11" s="13"/>
      <c r="H11" s="13"/>
      <c r="I11" s="7" t="s">
        <v>15</v>
      </c>
      <c r="J11" s="15">
        <v>14800</v>
      </c>
      <c r="K11" s="14">
        <v>15100</v>
      </c>
      <c r="L11" s="14">
        <v>15500</v>
      </c>
      <c r="M11" s="12" t="s">
        <v>39</v>
      </c>
      <c r="N11" s="7" t="s">
        <v>40</v>
      </c>
      <c r="O11" s="13"/>
    </row>
    <row r="12" spans="1:15" ht="36" thickBot="1" x14ac:dyDescent="0.25">
      <c r="A12" s="16"/>
      <c r="B12" s="13"/>
      <c r="C12" s="13"/>
      <c r="D12" s="13"/>
      <c r="E12" s="13"/>
      <c r="F12" s="13"/>
      <c r="G12" s="13"/>
      <c r="H12" s="13"/>
      <c r="I12" s="13"/>
      <c r="J12" s="7" t="s">
        <v>16</v>
      </c>
      <c r="K12" s="15">
        <v>16300</v>
      </c>
      <c r="L12" s="14">
        <v>15200</v>
      </c>
      <c r="M12" s="14">
        <v>15100</v>
      </c>
      <c r="N12" s="12" t="s">
        <v>41</v>
      </c>
      <c r="O12" s="7" t="s">
        <v>42</v>
      </c>
    </row>
    <row r="13" spans="1:15" ht="36" thickBot="1" x14ac:dyDescent="0.25">
      <c r="A13" s="17"/>
      <c r="B13" s="13"/>
      <c r="C13" s="13"/>
      <c r="D13" s="13"/>
      <c r="E13" s="13"/>
      <c r="F13" s="13"/>
      <c r="G13" s="13"/>
      <c r="H13" s="13"/>
      <c r="I13" s="13"/>
      <c r="J13" s="13"/>
      <c r="K13" s="7" t="s">
        <v>17</v>
      </c>
      <c r="L13" s="15">
        <v>18700</v>
      </c>
      <c r="M13" s="14">
        <v>19000</v>
      </c>
      <c r="N13" s="14">
        <v>19900</v>
      </c>
      <c r="O13" s="12" t="s">
        <v>43</v>
      </c>
    </row>
  </sheetData>
  <mergeCells count="2">
    <mergeCell ref="A1:A8"/>
    <mergeCell ref="B1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EA1B-9870-411B-AA76-C9964D3E58AB}">
  <dimension ref="A1:E15"/>
  <sheetViews>
    <sheetView topLeftCell="A2" workbookViewId="0">
      <selection activeCell="E4" sqref="E4"/>
    </sheetView>
  </sheetViews>
  <sheetFormatPr baseColWidth="10" defaultColWidth="8.83203125" defaultRowHeight="15" x14ac:dyDescent="0.2"/>
  <cols>
    <col min="6" max="6" width="10" bestFit="1" customWidth="1"/>
  </cols>
  <sheetData>
    <row r="1" spans="1:5" ht="16" x14ac:dyDescent="0.2">
      <c r="A1" s="29" t="s">
        <v>44</v>
      </c>
      <c r="B1" s="29"/>
      <c r="C1" s="29"/>
      <c r="D1" s="29"/>
      <c r="E1" s="29"/>
    </row>
    <row r="2" spans="1:5" ht="17" thickBot="1" x14ac:dyDescent="0.25">
      <c r="A2" t="s">
        <v>44</v>
      </c>
      <c r="B2" s="1"/>
      <c r="C2" s="1"/>
      <c r="D2" s="1"/>
      <c r="E2" s="1"/>
    </row>
    <row r="3" spans="1:5" ht="16" thickBo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</row>
    <row r="4" spans="1:5" x14ac:dyDescent="0.2">
      <c r="A4" s="3" t="s">
        <v>6</v>
      </c>
      <c r="B4" s="4">
        <v>5960</v>
      </c>
      <c r="C4" s="4">
        <v>8940</v>
      </c>
      <c r="D4" s="4">
        <v>2980</v>
      </c>
      <c r="E4" s="4">
        <v>17800</v>
      </c>
    </row>
    <row r="5" spans="1:5" x14ac:dyDescent="0.2">
      <c r="A5" s="3" t="s">
        <v>7</v>
      </c>
      <c r="B5" s="4">
        <v>6090</v>
      </c>
      <c r="C5" s="4">
        <v>9550</v>
      </c>
      <c r="D5" s="4">
        <v>3220</v>
      </c>
      <c r="E5" s="4">
        <v>18860</v>
      </c>
    </row>
    <row r="6" spans="1:5" x14ac:dyDescent="0.2">
      <c r="A6" s="3" t="s">
        <v>8</v>
      </c>
      <c r="B6" s="4">
        <v>6030</v>
      </c>
      <c r="C6" s="4">
        <v>9510</v>
      </c>
      <c r="D6" s="4">
        <v>3160</v>
      </c>
      <c r="E6" s="4">
        <v>18700</v>
      </c>
    </row>
    <row r="7" spans="1:5" x14ac:dyDescent="0.2">
      <c r="A7" s="3" t="s">
        <v>9</v>
      </c>
      <c r="B7" s="4">
        <v>6540</v>
      </c>
      <c r="C7" s="4">
        <v>9770</v>
      </c>
      <c r="D7" s="4">
        <v>3290</v>
      </c>
      <c r="E7" s="4">
        <v>19600</v>
      </c>
    </row>
    <row r="8" spans="1:5" x14ac:dyDescent="0.2">
      <c r="A8" s="3" t="s">
        <v>10</v>
      </c>
      <c r="B8" s="4">
        <v>5800</v>
      </c>
      <c r="C8" s="4">
        <v>8450</v>
      </c>
      <c r="D8" s="4">
        <v>2900</v>
      </c>
      <c r="E8" s="4">
        <v>17150</v>
      </c>
    </row>
    <row r="9" spans="1:5" x14ac:dyDescent="0.2">
      <c r="A9" s="3" t="s">
        <v>11</v>
      </c>
      <c r="B9" s="4">
        <v>5000</v>
      </c>
      <c r="C9" s="4">
        <v>7500</v>
      </c>
      <c r="D9" s="4">
        <v>2500</v>
      </c>
      <c r="E9" s="4">
        <v>15000</v>
      </c>
    </row>
    <row r="10" spans="1:5" x14ac:dyDescent="0.2">
      <c r="A10" s="3" t="s">
        <v>12</v>
      </c>
      <c r="B10" s="4">
        <v>5000</v>
      </c>
      <c r="C10" s="4">
        <v>7500</v>
      </c>
      <c r="D10" s="4">
        <v>2500</v>
      </c>
      <c r="E10" s="4">
        <v>15000</v>
      </c>
    </row>
    <row r="11" spans="1:5" x14ac:dyDescent="0.2">
      <c r="A11" s="3" t="s">
        <v>13</v>
      </c>
      <c r="B11" s="4">
        <v>5000</v>
      </c>
      <c r="C11" s="4">
        <v>7500</v>
      </c>
      <c r="D11" s="4">
        <v>2500</v>
      </c>
      <c r="E11" s="4">
        <v>15000</v>
      </c>
    </row>
    <row r="12" spans="1:5" x14ac:dyDescent="0.2">
      <c r="A12" s="3" t="s">
        <v>14</v>
      </c>
      <c r="B12" s="4">
        <v>5000</v>
      </c>
      <c r="C12" s="4">
        <v>8000</v>
      </c>
      <c r="D12" s="4">
        <v>2500</v>
      </c>
      <c r="E12" s="4">
        <v>15500</v>
      </c>
    </row>
    <row r="13" spans="1:5" x14ac:dyDescent="0.2">
      <c r="A13" s="3" t="s">
        <v>15</v>
      </c>
      <c r="B13" s="4">
        <v>5500</v>
      </c>
      <c r="C13" s="4">
        <v>8200</v>
      </c>
      <c r="D13" s="4">
        <v>2800</v>
      </c>
      <c r="E13" s="4">
        <v>16500</v>
      </c>
    </row>
    <row r="14" spans="1:5" x14ac:dyDescent="0.2">
      <c r="A14" s="3" t="s">
        <v>16</v>
      </c>
      <c r="B14" s="4">
        <v>5600</v>
      </c>
      <c r="C14" s="4">
        <v>8500</v>
      </c>
      <c r="D14" s="4">
        <v>2900</v>
      </c>
      <c r="E14" s="4">
        <v>17000</v>
      </c>
    </row>
    <row r="15" spans="1:5" ht="16" thickBot="1" x14ac:dyDescent="0.25">
      <c r="A15" s="5" t="s">
        <v>17</v>
      </c>
      <c r="B15" s="6">
        <v>8000</v>
      </c>
      <c r="C15" s="6">
        <v>12000</v>
      </c>
      <c r="D15" s="6">
        <v>4000</v>
      </c>
      <c r="E15" s="6">
        <v>24000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4DAC-6B23-4692-A64C-20D0CD267D69}">
  <dimension ref="A1:F16"/>
  <sheetViews>
    <sheetView workbookViewId="0">
      <selection activeCell="B5" sqref="B5"/>
    </sheetView>
  </sheetViews>
  <sheetFormatPr baseColWidth="10" defaultColWidth="8.83203125" defaultRowHeight="15" x14ac:dyDescent="0.2"/>
  <cols>
    <col min="1" max="6" width="11.6640625" customWidth="1"/>
  </cols>
  <sheetData>
    <row r="1" spans="1:6" ht="16" x14ac:dyDescent="0.2">
      <c r="A1" s="29" t="s">
        <v>45</v>
      </c>
      <c r="B1" s="29"/>
      <c r="C1" s="29"/>
      <c r="D1" s="29"/>
      <c r="E1" s="29"/>
      <c r="F1" s="1"/>
    </row>
    <row r="2" spans="1:6" ht="17" thickBot="1" x14ac:dyDescent="0.25">
      <c r="A2" s="1"/>
      <c r="B2" s="1"/>
      <c r="C2" s="1"/>
      <c r="D2" s="1"/>
      <c r="E2" s="1"/>
      <c r="F2" s="1"/>
    </row>
    <row r="3" spans="1:6" ht="16" thickBot="1" x14ac:dyDescent="0.25">
      <c r="A3" s="19"/>
      <c r="B3" s="19"/>
      <c r="C3" s="19"/>
      <c r="D3" s="34" t="s">
        <v>46</v>
      </c>
      <c r="E3" s="34"/>
      <c r="F3" s="34"/>
    </row>
    <row r="4" spans="1:6" ht="49" thickBot="1" x14ac:dyDescent="0.25">
      <c r="A4" s="20" t="s">
        <v>1</v>
      </c>
      <c r="B4" s="20" t="s">
        <v>47</v>
      </c>
      <c r="C4" s="20" t="s">
        <v>48</v>
      </c>
      <c r="D4" s="20" t="s">
        <v>49</v>
      </c>
      <c r="E4" s="20" t="s">
        <v>50</v>
      </c>
      <c r="F4" s="20" t="s">
        <v>51</v>
      </c>
    </row>
    <row r="5" spans="1:6" x14ac:dyDescent="0.2">
      <c r="A5" s="3" t="s">
        <v>6</v>
      </c>
      <c r="B5" s="4">
        <v>4</v>
      </c>
      <c r="C5" s="4">
        <v>4</v>
      </c>
      <c r="D5" s="4">
        <v>17880</v>
      </c>
      <c r="E5" s="4">
        <v>71520</v>
      </c>
      <c r="F5" s="4">
        <v>71520</v>
      </c>
    </row>
    <row r="6" spans="1:6" x14ac:dyDescent="0.2">
      <c r="A6" s="3" t="s">
        <v>7</v>
      </c>
      <c r="B6" s="4">
        <v>3</v>
      </c>
      <c r="C6" s="4">
        <v>4</v>
      </c>
      <c r="D6" s="4">
        <v>18860</v>
      </c>
      <c r="E6" s="4">
        <v>75440</v>
      </c>
      <c r="F6" s="4">
        <v>146960</v>
      </c>
    </row>
    <row r="7" spans="1:6" x14ac:dyDescent="0.2">
      <c r="A7" s="3" t="s">
        <v>8</v>
      </c>
      <c r="B7" s="4">
        <v>4</v>
      </c>
      <c r="C7" s="4">
        <v>5</v>
      </c>
      <c r="D7" s="4">
        <v>18700</v>
      </c>
      <c r="E7" s="4">
        <v>93500</v>
      </c>
      <c r="F7" s="4">
        <v>240460</v>
      </c>
    </row>
    <row r="8" spans="1:6" x14ac:dyDescent="0.2">
      <c r="A8" s="3" t="s">
        <v>9</v>
      </c>
      <c r="B8" s="4">
        <v>4</v>
      </c>
      <c r="C8" s="4">
        <v>4</v>
      </c>
      <c r="D8" s="4">
        <v>19600</v>
      </c>
      <c r="E8" s="4">
        <v>78400</v>
      </c>
      <c r="F8" s="4">
        <v>318860</v>
      </c>
    </row>
    <row r="9" spans="1:6" x14ac:dyDescent="0.2">
      <c r="A9" s="3" t="s">
        <v>10</v>
      </c>
      <c r="B9" s="4">
        <v>5</v>
      </c>
      <c r="C9" s="4">
        <v>5</v>
      </c>
      <c r="D9" s="4">
        <v>17150</v>
      </c>
      <c r="E9" s="4">
        <v>85750</v>
      </c>
      <c r="F9" s="4">
        <v>404610</v>
      </c>
    </row>
    <row r="10" spans="1:6" x14ac:dyDescent="0.2">
      <c r="A10" s="3" t="s">
        <v>11</v>
      </c>
      <c r="B10" s="4">
        <v>4</v>
      </c>
      <c r="C10" s="4">
        <v>4</v>
      </c>
      <c r="D10" s="4">
        <v>15000</v>
      </c>
      <c r="E10" s="4">
        <v>60000</v>
      </c>
      <c r="F10" s="4">
        <v>464610</v>
      </c>
    </row>
    <row r="11" spans="1:6" x14ac:dyDescent="0.2">
      <c r="A11" s="3" t="s">
        <v>12</v>
      </c>
      <c r="B11" s="4">
        <v>3</v>
      </c>
      <c r="C11" s="4">
        <v>4</v>
      </c>
      <c r="D11" s="4">
        <v>15000</v>
      </c>
      <c r="E11" s="4">
        <v>60000</v>
      </c>
      <c r="F11" s="4">
        <v>524610</v>
      </c>
    </row>
    <row r="12" spans="1:6" x14ac:dyDescent="0.2">
      <c r="A12" s="3" t="s">
        <v>13</v>
      </c>
      <c r="B12" s="4">
        <v>3</v>
      </c>
      <c r="C12" s="4">
        <v>5</v>
      </c>
      <c r="D12" s="4">
        <v>15000</v>
      </c>
      <c r="E12" s="4">
        <v>75000</v>
      </c>
      <c r="F12" s="4">
        <v>599610</v>
      </c>
    </row>
    <row r="13" spans="1:6" x14ac:dyDescent="0.2">
      <c r="A13" s="3" t="s">
        <v>14</v>
      </c>
      <c r="B13" s="4">
        <v>4</v>
      </c>
      <c r="C13" s="4">
        <v>4</v>
      </c>
      <c r="D13" s="4">
        <v>15500</v>
      </c>
      <c r="E13" s="4">
        <v>62000</v>
      </c>
      <c r="F13" s="4">
        <v>661610</v>
      </c>
    </row>
    <row r="14" spans="1:6" x14ac:dyDescent="0.2">
      <c r="A14" s="3" t="s">
        <v>15</v>
      </c>
      <c r="B14" s="4">
        <v>5</v>
      </c>
      <c r="C14" s="4">
        <v>5</v>
      </c>
      <c r="D14" s="4">
        <v>16500</v>
      </c>
      <c r="E14" s="4">
        <v>82500</v>
      </c>
      <c r="F14" s="4">
        <v>744110</v>
      </c>
    </row>
    <row r="15" spans="1:6" x14ac:dyDescent="0.2">
      <c r="A15" s="3" t="s">
        <v>16</v>
      </c>
      <c r="B15" s="4">
        <v>4</v>
      </c>
      <c r="C15" s="4">
        <v>4</v>
      </c>
      <c r="D15" s="4">
        <v>17000</v>
      </c>
      <c r="E15" s="4">
        <v>68000</v>
      </c>
      <c r="F15" s="4">
        <v>812110</v>
      </c>
    </row>
    <row r="16" spans="1:6" ht="16" thickBot="1" x14ac:dyDescent="0.25">
      <c r="A16" s="5" t="s">
        <v>17</v>
      </c>
      <c r="B16" s="6">
        <v>4</v>
      </c>
      <c r="C16" s="6">
        <v>4</v>
      </c>
      <c r="D16" s="6">
        <v>24000</v>
      </c>
      <c r="E16" s="6">
        <v>96000</v>
      </c>
      <c r="F16" s="6">
        <v>908110</v>
      </c>
    </row>
  </sheetData>
  <mergeCells count="2">
    <mergeCell ref="A1:E1"/>
    <mergeCell ref="D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41C4-E50D-407F-AC55-5CE194613ECB}">
  <dimension ref="B1:C10"/>
  <sheetViews>
    <sheetView workbookViewId="0">
      <selection activeCell="C10" sqref="C10"/>
    </sheetView>
  </sheetViews>
  <sheetFormatPr baseColWidth="10" defaultColWidth="8.83203125" defaultRowHeight="15" x14ac:dyDescent="0.2"/>
  <cols>
    <col min="2" max="2" width="21.5" bestFit="1" customWidth="1"/>
    <col min="3" max="3" width="9.5" bestFit="1" customWidth="1"/>
  </cols>
  <sheetData>
    <row r="1" spans="2:3" x14ac:dyDescent="0.2">
      <c r="B1" s="35" t="s">
        <v>60</v>
      </c>
      <c r="C1" s="35"/>
    </row>
    <row r="2" spans="2:3" x14ac:dyDescent="0.2">
      <c r="B2" t="s">
        <v>55</v>
      </c>
      <c r="C2">
        <v>16500</v>
      </c>
    </row>
    <row r="3" spans="2:3" x14ac:dyDescent="0.2">
      <c r="B3" t="s">
        <v>56</v>
      </c>
      <c r="C3" s="25">
        <v>0.2</v>
      </c>
    </row>
    <row r="4" spans="2:3" x14ac:dyDescent="0.2">
      <c r="B4" t="s">
        <v>87</v>
      </c>
      <c r="C4" s="25">
        <v>1.5</v>
      </c>
    </row>
    <row r="5" spans="2:3" x14ac:dyDescent="0.2">
      <c r="B5" t="s">
        <v>57</v>
      </c>
      <c r="C5" s="25">
        <v>2</v>
      </c>
    </row>
    <row r="6" spans="2:3" x14ac:dyDescent="0.2">
      <c r="B6" t="s">
        <v>58</v>
      </c>
      <c r="C6" s="25">
        <v>1.25</v>
      </c>
    </row>
    <row r="7" spans="2:3" x14ac:dyDescent="0.2">
      <c r="B7" t="s">
        <v>59</v>
      </c>
      <c r="C7">
        <v>20000</v>
      </c>
    </row>
    <row r="9" spans="2:3" x14ac:dyDescent="0.2">
      <c r="B9" s="35" t="s">
        <v>61</v>
      </c>
      <c r="C9" s="35"/>
    </row>
    <row r="10" spans="2:3" x14ac:dyDescent="0.2">
      <c r="B10" t="s">
        <v>62</v>
      </c>
      <c r="C10">
        <v>0</v>
      </c>
    </row>
  </sheetData>
  <mergeCells count="2">
    <mergeCell ref="B1:C1"/>
    <mergeCell ref="B9:C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EE77-F3ED-4C7B-8F7F-184BCFF57A89}">
  <dimension ref="B1:F14"/>
  <sheetViews>
    <sheetView workbookViewId="0">
      <selection activeCell="F3" sqref="F3:F14"/>
    </sheetView>
  </sheetViews>
  <sheetFormatPr baseColWidth="10" defaultColWidth="8.83203125" defaultRowHeight="15" x14ac:dyDescent="0.2"/>
  <sheetData>
    <row r="1" spans="2:6" ht="16" thickBot="1" x14ac:dyDescent="0.25"/>
    <row r="2" spans="2:6" ht="34.75" customHeight="1" thickBot="1" x14ac:dyDescent="0.25">
      <c r="B2" s="18" t="s">
        <v>1</v>
      </c>
      <c r="C2" s="20" t="s">
        <v>48</v>
      </c>
      <c r="D2" s="20" t="s">
        <v>47</v>
      </c>
      <c r="E2" s="20" t="s">
        <v>49</v>
      </c>
      <c r="F2" s="27" t="s">
        <v>63</v>
      </c>
    </row>
    <row r="3" spans="2:6" x14ac:dyDescent="0.2">
      <c r="B3" s="3" t="s">
        <v>6</v>
      </c>
      <c r="C3" s="4">
        <v>4</v>
      </c>
      <c r="D3" s="4">
        <v>4</v>
      </c>
      <c r="E3" s="4">
        <v>17880</v>
      </c>
      <c r="F3">
        <f>E3*C3</f>
        <v>71520</v>
      </c>
    </row>
    <row r="4" spans="2:6" x14ac:dyDescent="0.2">
      <c r="B4" s="3" t="s">
        <v>7</v>
      </c>
      <c r="C4" s="4">
        <v>4</v>
      </c>
      <c r="D4" s="4">
        <v>3</v>
      </c>
      <c r="E4" s="4">
        <v>18860</v>
      </c>
      <c r="F4">
        <f t="shared" ref="F4:F14" si="0">E4*C4</f>
        <v>75440</v>
      </c>
    </row>
    <row r="5" spans="2:6" x14ac:dyDescent="0.2">
      <c r="B5" s="3" t="s">
        <v>8</v>
      </c>
      <c r="C5" s="4">
        <v>5</v>
      </c>
      <c r="D5" s="4">
        <v>4</v>
      </c>
      <c r="E5" s="4">
        <v>18700</v>
      </c>
      <c r="F5">
        <f t="shared" si="0"/>
        <v>93500</v>
      </c>
    </row>
    <row r="6" spans="2:6" x14ac:dyDescent="0.2">
      <c r="B6" s="3" t="s">
        <v>9</v>
      </c>
      <c r="C6" s="4">
        <v>4</v>
      </c>
      <c r="D6" s="4">
        <v>4</v>
      </c>
      <c r="E6" s="4">
        <v>19600</v>
      </c>
      <c r="F6">
        <f t="shared" si="0"/>
        <v>78400</v>
      </c>
    </row>
    <row r="7" spans="2:6" x14ac:dyDescent="0.2">
      <c r="B7" s="3" t="s">
        <v>10</v>
      </c>
      <c r="C7" s="4">
        <v>5</v>
      </c>
      <c r="D7" s="4">
        <v>5</v>
      </c>
      <c r="E7" s="4">
        <v>17150</v>
      </c>
      <c r="F7">
        <f t="shared" si="0"/>
        <v>85750</v>
      </c>
    </row>
    <row r="8" spans="2:6" x14ac:dyDescent="0.2">
      <c r="B8" s="3" t="s">
        <v>11</v>
      </c>
      <c r="C8" s="4">
        <v>4</v>
      </c>
      <c r="D8" s="4">
        <v>4</v>
      </c>
      <c r="E8" s="4">
        <v>15000</v>
      </c>
      <c r="F8">
        <f t="shared" si="0"/>
        <v>60000</v>
      </c>
    </row>
    <row r="9" spans="2:6" x14ac:dyDescent="0.2">
      <c r="B9" s="3" t="s">
        <v>12</v>
      </c>
      <c r="C9" s="4">
        <v>4</v>
      </c>
      <c r="D9" s="4">
        <v>3</v>
      </c>
      <c r="E9" s="4">
        <v>15000</v>
      </c>
      <c r="F9">
        <f t="shared" si="0"/>
        <v>60000</v>
      </c>
    </row>
    <row r="10" spans="2:6" x14ac:dyDescent="0.2">
      <c r="B10" s="3" t="s">
        <v>13</v>
      </c>
      <c r="C10" s="4">
        <v>5</v>
      </c>
      <c r="D10" s="4">
        <v>3</v>
      </c>
      <c r="E10" s="4">
        <v>15000</v>
      </c>
      <c r="F10">
        <f t="shared" si="0"/>
        <v>75000</v>
      </c>
    </row>
    <row r="11" spans="2:6" x14ac:dyDescent="0.2">
      <c r="B11" s="3" t="s">
        <v>14</v>
      </c>
      <c r="C11" s="4">
        <v>4</v>
      </c>
      <c r="D11" s="4">
        <v>4</v>
      </c>
      <c r="E11" s="4">
        <v>15500</v>
      </c>
      <c r="F11">
        <f t="shared" si="0"/>
        <v>62000</v>
      </c>
    </row>
    <row r="12" spans="2:6" x14ac:dyDescent="0.2">
      <c r="B12" s="3" t="s">
        <v>15</v>
      </c>
      <c r="C12" s="4">
        <v>5</v>
      </c>
      <c r="D12" s="4">
        <v>5</v>
      </c>
      <c r="E12" s="4">
        <v>16500</v>
      </c>
      <c r="F12">
        <f t="shared" si="0"/>
        <v>82500</v>
      </c>
    </row>
    <row r="13" spans="2:6" x14ac:dyDescent="0.2">
      <c r="B13" s="3" t="s">
        <v>16</v>
      </c>
      <c r="C13" s="4">
        <v>4</v>
      </c>
      <c r="D13" s="4">
        <v>4</v>
      </c>
      <c r="E13" s="4">
        <v>17000</v>
      </c>
      <c r="F13">
        <f t="shared" si="0"/>
        <v>68000</v>
      </c>
    </row>
    <row r="14" spans="2:6" ht="16" thickBot="1" x14ac:dyDescent="0.25">
      <c r="B14" s="5" t="s">
        <v>17</v>
      </c>
      <c r="C14" s="6">
        <v>4</v>
      </c>
      <c r="D14" s="6">
        <v>4</v>
      </c>
      <c r="E14" s="6">
        <v>24000</v>
      </c>
      <c r="F14">
        <f t="shared" si="0"/>
        <v>96000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B2DB-4C0D-4903-A66E-A07985835047}">
  <dimension ref="B1:J14"/>
  <sheetViews>
    <sheetView workbookViewId="0">
      <selection activeCell="I3" sqref="I3"/>
    </sheetView>
  </sheetViews>
  <sheetFormatPr baseColWidth="10" defaultColWidth="8.83203125" defaultRowHeight="15" x14ac:dyDescent="0.2"/>
  <cols>
    <col min="5" max="6" width="12.83203125" customWidth="1"/>
  </cols>
  <sheetData>
    <row r="1" spans="2:10" ht="16" thickBot="1" x14ac:dyDescent="0.25"/>
    <row r="2" spans="2:10" ht="49" thickBot="1" x14ac:dyDescent="0.25">
      <c r="B2" s="18" t="s">
        <v>1</v>
      </c>
      <c r="C2" s="20" t="s">
        <v>48</v>
      </c>
      <c r="D2" s="20" t="s">
        <v>47</v>
      </c>
      <c r="E2" s="20" t="s">
        <v>64</v>
      </c>
      <c r="F2" s="20" t="s">
        <v>66</v>
      </c>
      <c r="G2" s="20" t="s">
        <v>49</v>
      </c>
      <c r="H2" s="27" t="s">
        <v>65</v>
      </c>
      <c r="I2" s="27" t="s">
        <v>67</v>
      </c>
    </row>
    <row r="3" spans="2:10" x14ac:dyDescent="0.2">
      <c r="B3" s="3" t="s">
        <v>6</v>
      </c>
      <c r="C3" s="4">
        <v>4</v>
      </c>
      <c r="D3" s="4">
        <v>4</v>
      </c>
      <c r="E3" s="4">
        <f>'Inputs and Assumptions'!$C$2</f>
        <v>16500</v>
      </c>
      <c r="F3" s="4">
        <f>E3*D3</f>
        <v>66000</v>
      </c>
      <c r="G3" s="4">
        <v>17880</v>
      </c>
      <c r="H3">
        <f t="shared" ref="H3:H14" si="0">G3*C3</f>
        <v>71520</v>
      </c>
      <c r="I3">
        <f>F3-H3</f>
        <v>-5520</v>
      </c>
      <c r="J3" t="str">
        <f>IF(I3&lt;0,"Shortfall","Excess")</f>
        <v>Shortfall</v>
      </c>
    </row>
    <row r="4" spans="2:10" x14ac:dyDescent="0.2">
      <c r="B4" s="3" t="s">
        <v>7</v>
      </c>
      <c r="C4" s="4">
        <v>4</v>
      </c>
      <c r="D4" s="4">
        <v>3</v>
      </c>
      <c r="E4" s="4">
        <f>'Inputs and Assumptions'!$C$2</f>
        <v>16500</v>
      </c>
      <c r="F4" s="4">
        <f t="shared" ref="F4:F14" si="1">E4*D4</f>
        <v>49500</v>
      </c>
      <c r="G4" s="4">
        <v>18860</v>
      </c>
      <c r="H4">
        <f t="shared" si="0"/>
        <v>75440</v>
      </c>
      <c r="I4">
        <f t="shared" ref="I4:I14" si="2">F4-H4</f>
        <v>-25940</v>
      </c>
      <c r="J4" t="str">
        <f t="shared" ref="J4:J14" si="3">IF(I4&lt;0,"Shortfall","Excess")</f>
        <v>Shortfall</v>
      </c>
    </row>
    <row r="5" spans="2:10" x14ac:dyDescent="0.2">
      <c r="B5" s="3" t="s">
        <v>8</v>
      </c>
      <c r="C5" s="4">
        <v>5</v>
      </c>
      <c r="D5" s="4">
        <v>4</v>
      </c>
      <c r="E5" s="4">
        <f>'Inputs and Assumptions'!$C$2</f>
        <v>16500</v>
      </c>
      <c r="F5" s="4">
        <f t="shared" si="1"/>
        <v>66000</v>
      </c>
      <c r="G5" s="4">
        <v>18700</v>
      </c>
      <c r="H5">
        <f t="shared" si="0"/>
        <v>93500</v>
      </c>
      <c r="I5">
        <f t="shared" si="2"/>
        <v>-27500</v>
      </c>
      <c r="J5" t="str">
        <f t="shared" si="3"/>
        <v>Shortfall</v>
      </c>
    </row>
    <row r="6" spans="2:10" x14ac:dyDescent="0.2">
      <c r="B6" s="3" t="s">
        <v>9</v>
      </c>
      <c r="C6" s="4">
        <v>4</v>
      </c>
      <c r="D6" s="4">
        <v>4</v>
      </c>
      <c r="E6" s="4">
        <f>'Inputs and Assumptions'!$C$2</f>
        <v>16500</v>
      </c>
      <c r="F6" s="4">
        <f t="shared" si="1"/>
        <v>66000</v>
      </c>
      <c r="G6" s="4">
        <v>19600</v>
      </c>
      <c r="H6">
        <f t="shared" si="0"/>
        <v>78400</v>
      </c>
      <c r="I6">
        <f t="shared" si="2"/>
        <v>-12400</v>
      </c>
      <c r="J6" t="str">
        <f t="shared" si="3"/>
        <v>Shortfall</v>
      </c>
    </row>
    <row r="7" spans="2:10" x14ac:dyDescent="0.2">
      <c r="B7" s="3" t="s">
        <v>10</v>
      </c>
      <c r="C7" s="4">
        <v>5</v>
      </c>
      <c r="D7" s="4">
        <v>5</v>
      </c>
      <c r="E7" s="4">
        <f>'Inputs and Assumptions'!$C$2</f>
        <v>16500</v>
      </c>
      <c r="F7" s="4">
        <f t="shared" si="1"/>
        <v>82500</v>
      </c>
      <c r="G7" s="4">
        <v>17150</v>
      </c>
      <c r="H7">
        <f t="shared" si="0"/>
        <v>85750</v>
      </c>
      <c r="I7">
        <f t="shared" si="2"/>
        <v>-3250</v>
      </c>
      <c r="J7" t="str">
        <f t="shared" si="3"/>
        <v>Shortfall</v>
      </c>
    </row>
    <row r="8" spans="2:10" x14ac:dyDescent="0.2">
      <c r="B8" s="3" t="s">
        <v>11</v>
      </c>
      <c r="C8" s="4">
        <v>4</v>
      </c>
      <c r="D8" s="4">
        <v>4</v>
      </c>
      <c r="E8" s="4">
        <f>'Inputs and Assumptions'!$C$2</f>
        <v>16500</v>
      </c>
      <c r="F8" s="4">
        <f t="shared" si="1"/>
        <v>66000</v>
      </c>
      <c r="G8" s="4">
        <v>15000</v>
      </c>
      <c r="H8">
        <f t="shared" si="0"/>
        <v>60000</v>
      </c>
      <c r="I8">
        <f t="shared" si="2"/>
        <v>6000</v>
      </c>
      <c r="J8" t="str">
        <f t="shared" si="3"/>
        <v>Excess</v>
      </c>
    </row>
    <row r="9" spans="2:10" x14ac:dyDescent="0.2">
      <c r="B9" s="3" t="s">
        <v>12</v>
      </c>
      <c r="C9" s="4">
        <v>4</v>
      </c>
      <c r="D9" s="4">
        <v>3</v>
      </c>
      <c r="E9" s="4">
        <f>'Inputs and Assumptions'!$C$2</f>
        <v>16500</v>
      </c>
      <c r="F9" s="4">
        <f t="shared" si="1"/>
        <v>49500</v>
      </c>
      <c r="G9" s="4">
        <v>15000</v>
      </c>
      <c r="H9">
        <f t="shared" si="0"/>
        <v>60000</v>
      </c>
      <c r="I9">
        <f t="shared" si="2"/>
        <v>-10500</v>
      </c>
      <c r="J9" t="str">
        <f t="shared" si="3"/>
        <v>Shortfall</v>
      </c>
    </row>
    <row r="10" spans="2:10" x14ac:dyDescent="0.2">
      <c r="B10" s="3" t="s">
        <v>13</v>
      </c>
      <c r="C10" s="4">
        <v>5</v>
      </c>
      <c r="D10" s="4">
        <v>3</v>
      </c>
      <c r="E10" s="4">
        <f>'Inputs and Assumptions'!$C$2</f>
        <v>16500</v>
      </c>
      <c r="F10" s="4">
        <f t="shared" si="1"/>
        <v>49500</v>
      </c>
      <c r="G10" s="4">
        <v>15000</v>
      </c>
      <c r="H10">
        <f t="shared" si="0"/>
        <v>75000</v>
      </c>
      <c r="I10">
        <f t="shared" si="2"/>
        <v>-25500</v>
      </c>
      <c r="J10" t="str">
        <f t="shared" si="3"/>
        <v>Shortfall</v>
      </c>
    </row>
    <row r="11" spans="2:10" x14ac:dyDescent="0.2">
      <c r="B11" s="3" t="s">
        <v>14</v>
      </c>
      <c r="C11" s="4">
        <v>4</v>
      </c>
      <c r="D11" s="4">
        <v>4</v>
      </c>
      <c r="E11" s="4">
        <f>'Inputs and Assumptions'!$C$2</f>
        <v>16500</v>
      </c>
      <c r="F11" s="4">
        <f t="shared" si="1"/>
        <v>66000</v>
      </c>
      <c r="G11" s="4">
        <v>15500</v>
      </c>
      <c r="H11">
        <f t="shared" si="0"/>
        <v>62000</v>
      </c>
      <c r="I11">
        <f t="shared" si="2"/>
        <v>4000</v>
      </c>
      <c r="J11" t="str">
        <f t="shared" si="3"/>
        <v>Excess</v>
      </c>
    </row>
    <row r="12" spans="2:10" x14ac:dyDescent="0.2">
      <c r="B12" s="3" t="s">
        <v>15</v>
      </c>
      <c r="C12" s="4">
        <v>5</v>
      </c>
      <c r="D12" s="4">
        <v>5</v>
      </c>
      <c r="E12" s="4">
        <f>'Inputs and Assumptions'!$C$2</f>
        <v>16500</v>
      </c>
      <c r="F12" s="4">
        <f t="shared" si="1"/>
        <v>82500</v>
      </c>
      <c r="G12" s="4">
        <v>16500</v>
      </c>
      <c r="H12">
        <f t="shared" si="0"/>
        <v>82500</v>
      </c>
      <c r="I12">
        <f t="shared" si="2"/>
        <v>0</v>
      </c>
      <c r="J12" t="str">
        <f t="shared" si="3"/>
        <v>Excess</v>
      </c>
    </row>
    <row r="13" spans="2:10" x14ac:dyDescent="0.2">
      <c r="B13" s="3" t="s">
        <v>16</v>
      </c>
      <c r="C13" s="4">
        <v>4</v>
      </c>
      <c r="D13" s="4">
        <v>4</v>
      </c>
      <c r="E13" s="4">
        <f>'Inputs and Assumptions'!$C$2</f>
        <v>16500</v>
      </c>
      <c r="F13" s="4">
        <f t="shared" si="1"/>
        <v>66000</v>
      </c>
      <c r="G13" s="4">
        <v>17000</v>
      </c>
      <c r="H13">
        <f t="shared" si="0"/>
        <v>68000</v>
      </c>
      <c r="I13">
        <f t="shared" si="2"/>
        <v>-2000</v>
      </c>
      <c r="J13" t="str">
        <f t="shared" si="3"/>
        <v>Shortfall</v>
      </c>
    </row>
    <row r="14" spans="2:10" ht="16" thickBot="1" x14ac:dyDescent="0.25">
      <c r="B14" s="5" t="s">
        <v>17</v>
      </c>
      <c r="C14" s="6">
        <v>4</v>
      </c>
      <c r="D14" s="6">
        <v>4</v>
      </c>
      <c r="E14" s="4">
        <f>'Inputs and Assumptions'!$C$2</f>
        <v>16500</v>
      </c>
      <c r="F14" s="4">
        <f t="shared" si="1"/>
        <v>66000</v>
      </c>
      <c r="G14" s="6">
        <v>24000</v>
      </c>
      <c r="H14">
        <f t="shared" si="0"/>
        <v>96000</v>
      </c>
      <c r="I14">
        <f t="shared" si="2"/>
        <v>-30000</v>
      </c>
      <c r="J14" t="str">
        <f t="shared" si="3"/>
        <v>Shortfall</v>
      </c>
    </row>
  </sheetData>
  <conditionalFormatting sqref="I3:I1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E4FC-67D7-470B-8E63-0730056B3245}">
  <dimension ref="B1:H14"/>
  <sheetViews>
    <sheetView workbookViewId="0">
      <selection activeCell="F8" sqref="F8"/>
    </sheetView>
  </sheetViews>
  <sheetFormatPr baseColWidth="10" defaultColWidth="8.83203125" defaultRowHeight="15" x14ac:dyDescent="0.2"/>
  <cols>
    <col min="4" max="4" width="20.6640625" bestFit="1" customWidth="1"/>
  </cols>
  <sheetData>
    <row r="1" spans="2:8" ht="16" thickBot="1" x14ac:dyDescent="0.25"/>
    <row r="2" spans="2:8" ht="16" thickBot="1" x14ac:dyDescent="0.25">
      <c r="B2" s="18" t="s">
        <v>1</v>
      </c>
      <c r="C2" t="s">
        <v>62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</row>
    <row r="3" spans="2:8" x14ac:dyDescent="0.2">
      <c r="B3" s="3" t="s">
        <v>6</v>
      </c>
      <c r="C3">
        <f>'Inputs and Assumptions'!$C$10</f>
        <v>0</v>
      </c>
      <c r="D3">
        <f>'Capacity Gap'!F3</f>
        <v>66000</v>
      </c>
      <c r="E3">
        <f>'Capacity Gap'!H3</f>
        <v>71520</v>
      </c>
      <c r="F3">
        <f>D3-E3</f>
        <v>-5520</v>
      </c>
      <c r="G3">
        <f>C3+F3</f>
        <v>-5520</v>
      </c>
      <c r="H3" t="str">
        <f>IF(G3&gt;20000,"Exceeds","OK")</f>
        <v>OK</v>
      </c>
    </row>
    <row r="4" spans="2:8" x14ac:dyDescent="0.2">
      <c r="B4" s="3" t="s">
        <v>7</v>
      </c>
      <c r="C4">
        <f>G3</f>
        <v>-5520</v>
      </c>
      <c r="D4">
        <f>'Capacity Gap'!F4</f>
        <v>49500</v>
      </c>
      <c r="E4">
        <f>'Capacity Gap'!H4</f>
        <v>75440</v>
      </c>
      <c r="F4">
        <f>D4-E4</f>
        <v>-25940</v>
      </c>
      <c r="G4">
        <f>C4+F4</f>
        <v>-31460</v>
      </c>
      <c r="H4" t="str">
        <f t="shared" ref="H4:H14" si="0">IF(G4&gt;20000,"Exceeds","OK")</f>
        <v>OK</v>
      </c>
    </row>
    <row r="5" spans="2:8" x14ac:dyDescent="0.2">
      <c r="B5" s="3" t="s">
        <v>8</v>
      </c>
      <c r="C5">
        <f t="shared" ref="C5:C14" si="1">G4</f>
        <v>-31460</v>
      </c>
      <c r="D5">
        <f>'Capacity Gap'!F5</f>
        <v>66000</v>
      </c>
      <c r="E5">
        <f>'Capacity Gap'!H5</f>
        <v>93500</v>
      </c>
      <c r="F5">
        <f t="shared" ref="F5:F14" si="2">D5-E5</f>
        <v>-27500</v>
      </c>
      <c r="G5">
        <f t="shared" ref="G5:G14" si="3">C5+F5</f>
        <v>-58960</v>
      </c>
      <c r="H5" t="str">
        <f t="shared" si="0"/>
        <v>OK</v>
      </c>
    </row>
    <row r="6" spans="2:8" x14ac:dyDescent="0.2">
      <c r="B6" s="3" t="s">
        <v>9</v>
      </c>
      <c r="C6">
        <f t="shared" si="1"/>
        <v>-58960</v>
      </c>
      <c r="D6">
        <f>'Capacity Gap'!F6</f>
        <v>66000</v>
      </c>
      <c r="E6">
        <f>'Capacity Gap'!H6</f>
        <v>78400</v>
      </c>
      <c r="F6">
        <f t="shared" si="2"/>
        <v>-12400</v>
      </c>
      <c r="G6">
        <f t="shared" si="3"/>
        <v>-71360</v>
      </c>
      <c r="H6" t="str">
        <f t="shared" si="0"/>
        <v>OK</v>
      </c>
    </row>
    <row r="7" spans="2:8" x14ac:dyDescent="0.2">
      <c r="B7" s="3" t="s">
        <v>10</v>
      </c>
      <c r="C7">
        <f t="shared" si="1"/>
        <v>-71360</v>
      </c>
      <c r="D7">
        <f>'Capacity Gap'!F7</f>
        <v>82500</v>
      </c>
      <c r="E7">
        <f>'Capacity Gap'!H7</f>
        <v>85750</v>
      </c>
      <c r="F7">
        <f t="shared" si="2"/>
        <v>-3250</v>
      </c>
      <c r="G7">
        <f t="shared" si="3"/>
        <v>-74610</v>
      </c>
      <c r="H7" t="str">
        <f t="shared" si="0"/>
        <v>OK</v>
      </c>
    </row>
    <row r="8" spans="2:8" x14ac:dyDescent="0.2">
      <c r="B8" s="3" t="s">
        <v>11</v>
      </c>
      <c r="C8">
        <f t="shared" si="1"/>
        <v>-74610</v>
      </c>
      <c r="D8">
        <f>'Capacity Gap'!F8</f>
        <v>66000</v>
      </c>
      <c r="E8">
        <f>'Capacity Gap'!H8</f>
        <v>60000</v>
      </c>
      <c r="F8">
        <f t="shared" si="2"/>
        <v>6000</v>
      </c>
      <c r="G8">
        <f t="shared" si="3"/>
        <v>-68610</v>
      </c>
      <c r="H8" t="str">
        <f t="shared" si="0"/>
        <v>OK</v>
      </c>
    </row>
    <row r="9" spans="2:8" x14ac:dyDescent="0.2">
      <c r="B9" s="3" t="s">
        <v>12</v>
      </c>
      <c r="C9">
        <f t="shared" si="1"/>
        <v>-68610</v>
      </c>
      <c r="D9">
        <f>'Capacity Gap'!F9</f>
        <v>49500</v>
      </c>
      <c r="E9">
        <f>'Capacity Gap'!H9</f>
        <v>60000</v>
      </c>
      <c r="F9">
        <f t="shared" si="2"/>
        <v>-10500</v>
      </c>
      <c r="G9">
        <f t="shared" si="3"/>
        <v>-79110</v>
      </c>
      <c r="H9" t="str">
        <f t="shared" si="0"/>
        <v>OK</v>
      </c>
    </row>
    <row r="10" spans="2:8" x14ac:dyDescent="0.2">
      <c r="B10" s="3" t="s">
        <v>13</v>
      </c>
      <c r="C10">
        <f t="shared" si="1"/>
        <v>-79110</v>
      </c>
      <c r="D10">
        <f>'Capacity Gap'!F10</f>
        <v>49500</v>
      </c>
      <c r="E10">
        <f>'Capacity Gap'!H10</f>
        <v>75000</v>
      </c>
      <c r="F10">
        <f t="shared" si="2"/>
        <v>-25500</v>
      </c>
      <c r="G10">
        <f t="shared" si="3"/>
        <v>-104610</v>
      </c>
      <c r="H10" t="str">
        <f t="shared" si="0"/>
        <v>OK</v>
      </c>
    </row>
    <row r="11" spans="2:8" x14ac:dyDescent="0.2">
      <c r="B11" s="3" t="s">
        <v>14</v>
      </c>
      <c r="C11">
        <f t="shared" si="1"/>
        <v>-104610</v>
      </c>
      <c r="D11">
        <f>'Capacity Gap'!F11</f>
        <v>66000</v>
      </c>
      <c r="E11">
        <f>'Capacity Gap'!H11</f>
        <v>62000</v>
      </c>
      <c r="F11">
        <f t="shared" si="2"/>
        <v>4000</v>
      </c>
      <c r="G11">
        <f t="shared" si="3"/>
        <v>-100610</v>
      </c>
      <c r="H11" t="str">
        <f t="shared" si="0"/>
        <v>OK</v>
      </c>
    </row>
    <row r="12" spans="2:8" x14ac:dyDescent="0.2">
      <c r="B12" s="3" t="s">
        <v>15</v>
      </c>
      <c r="C12">
        <f t="shared" si="1"/>
        <v>-100610</v>
      </c>
      <c r="D12">
        <f>'Capacity Gap'!F12</f>
        <v>82500</v>
      </c>
      <c r="E12">
        <f>'Capacity Gap'!H12</f>
        <v>82500</v>
      </c>
      <c r="F12">
        <f t="shared" si="2"/>
        <v>0</v>
      </c>
      <c r="G12">
        <f t="shared" si="3"/>
        <v>-100610</v>
      </c>
      <c r="H12" t="str">
        <f t="shared" si="0"/>
        <v>OK</v>
      </c>
    </row>
    <row r="13" spans="2:8" x14ac:dyDescent="0.2">
      <c r="B13" s="3" t="s">
        <v>16</v>
      </c>
      <c r="C13">
        <f t="shared" si="1"/>
        <v>-100610</v>
      </c>
      <c r="D13">
        <f>'Capacity Gap'!F13</f>
        <v>66000</v>
      </c>
      <c r="E13">
        <f>'Capacity Gap'!H13</f>
        <v>68000</v>
      </c>
      <c r="F13">
        <f t="shared" si="2"/>
        <v>-2000</v>
      </c>
      <c r="G13">
        <f t="shared" si="3"/>
        <v>-102610</v>
      </c>
      <c r="H13" t="str">
        <f t="shared" si="0"/>
        <v>OK</v>
      </c>
    </row>
    <row r="14" spans="2:8" ht="16" thickBot="1" x14ac:dyDescent="0.25">
      <c r="B14" s="5" t="s">
        <v>17</v>
      </c>
      <c r="C14">
        <f t="shared" si="1"/>
        <v>-102610</v>
      </c>
      <c r="D14">
        <f>'Capacity Gap'!F14</f>
        <v>66000</v>
      </c>
      <c r="E14">
        <f>'Capacity Gap'!H14</f>
        <v>96000</v>
      </c>
      <c r="F14">
        <f t="shared" si="2"/>
        <v>-30000</v>
      </c>
      <c r="G14">
        <f t="shared" si="3"/>
        <v>-132610</v>
      </c>
      <c r="H14" t="str">
        <f t="shared" si="0"/>
        <v>OK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55F0-211C-4DC2-BCC2-20C8D572FA09}">
  <dimension ref="B1:P16"/>
  <sheetViews>
    <sheetView zoomScale="88" workbookViewId="0">
      <selection activeCell="M16" sqref="M16"/>
    </sheetView>
  </sheetViews>
  <sheetFormatPr baseColWidth="10" defaultColWidth="8.83203125" defaultRowHeight="15" x14ac:dyDescent="0.2"/>
  <cols>
    <col min="5" max="5" width="16.1640625" customWidth="1"/>
    <col min="6" max="7" width="17.5" customWidth="1"/>
    <col min="8" max="8" width="14.83203125" bestFit="1" customWidth="1"/>
    <col min="9" max="9" width="14.83203125" customWidth="1"/>
    <col min="10" max="10" width="17.6640625" bestFit="1" customWidth="1"/>
    <col min="11" max="11" width="17.6640625" customWidth="1"/>
    <col min="14" max="14" width="20" bestFit="1" customWidth="1"/>
  </cols>
  <sheetData>
    <row r="1" spans="2:16" ht="16" thickBot="1" x14ac:dyDescent="0.25"/>
    <row r="2" spans="2:16" ht="16" thickBot="1" x14ac:dyDescent="0.25">
      <c r="B2" s="18" t="s">
        <v>1</v>
      </c>
      <c r="C2" t="s">
        <v>73</v>
      </c>
      <c r="D2" t="s">
        <v>85</v>
      </c>
      <c r="E2" s="35" t="s">
        <v>82</v>
      </c>
      <c r="F2" s="35"/>
      <c r="G2" s="26"/>
      <c r="H2" t="s">
        <v>88</v>
      </c>
      <c r="I2" t="s">
        <v>89</v>
      </c>
      <c r="J2" t="s">
        <v>90</v>
      </c>
      <c r="K2" t="s">
        <v>91</v>
      </c>
      <c r="L2" t="s">
        <v>94</v>
      </c>
      <c r="M2" t="s">
        <v>96</v>
      </c>
      <c r="N2" s="35" t="s">
        <v>74</v>
      </c>
      <c r="O2" s="35"/>
      <c r="P2" s="35"/>
    </row>
    <row r="3" spans="2:16" x14ac:dyDescent="0.2">
      <c r="B3" s="28"/>
      <c r="E3" t="s">
        <v>75</v>
      </c>
      <c r="F3" t="s">
        <v>76</v>
      </c>
      <c r="G3" t="s">
        <v>78</v>
      </c>
      <c r="N3" s="26"/>
      <c r="O3" s="26"/>
      <c r="P3" s="26"/>
    </row>
    <row r="4" spans="2:16" x14ac:dyDescent="0.2">
      <c r="B4" s="3" t="s">
        <v>6</v>
      </c>
      <c r="C4">
        <f>IF(Inventory!F3&lt;0,ABS(Inventory!G3),0)</f>
        <v>5520</v>
      </c>
      <c r="D4" s="4">
        <v>4</v>
      </c>
      <c r="E4">
        <f t="shared" ref="E4:E15" si="0">D4*10*$O$11</f>
        <v>16500</v>
      </c>
      <c r="F4">
        <f t="shared" ref="F4:F15" si="1">D4*8*$O$11</f>
        <v>13200</v>
      </c>
      <c r="G4">
        <f>D4*8*$O$11</f>
        <v>13200</v>
      </c>
      <c r="H4">
        <f t="shared" ref="H4:H15" si="2">SUM(E4:F4)</f>
        <v>29700</v>
      </c>
      <c r="I4">
        <f>H4+G4</f>
        <v>42900</v>
      </c>
      <c r="J4">
        <f t="shared" ref="J4:J15" si="3">MIN(C4,H4)</f>
        <v>5520</v>
      </c>
      <c r="K4">
        <f>MIN(C4,I4)</f>
        <v>5520</v>
      </c>
      <c r="L4">
        <f t="shared" ref="L4:L15" si="4">C4-J4</f>
        <v>0</v>
      </c>
      <c r="M4">
        <f>C4-K4</f>
        <v>0</v>
      </c>
      <c r="N4" t="s">
        <v>75</v>
      </c>
      <c r="O4">
        <v>10</v>
      </c>
      <c r="P4" t="s">
        <v>86</v>
      </c>
    </row>
    <row r="5" spans="2:16" x14ac:dyDescent="0.2">
      <c r="B5" s="3" t="s">
        <v>7</v>
      </c>
      <c r="C5">
        <f>IF(Inventory!F4&lt;0,ABS(Inventory!G4),0)</f>
        <v>31460</v>
      </c>
      <c r="D5" s="4">
        <v>3</v>
      </c>
      <c r="E5">
        <f t="shared" si="0"/>
        <v>12375</v>
      </c>
      <c r="F5">
        <f t="shared" si="1"/>
        <v>9900</v>
      </c>
      <c r="G5">
        <f t="shared" ref="G5:G15" si="5">D5*8*$O$11</f>
        <v>9900</v>
      </c>
      <c r="H5">
        <f t="shared" si="2"/>
        <v>22275</v>
      </c>
      <c r="I5">
        <f t="shared" ref="I5:I15" si="6">H5+G5</f>
        <v>32175</v>
      </c>
      <c r="J5">
        <f t="shared" si="3"/>
        <v>22275</v>
      </c>
      <c r="K5">
        <f t="shared" ref="K5:K15" si="7">MIN(C5,I5)</f>
        <v>31460</v>
      </c>
      <c r="L5">
        <f t="shared" si="4"/>
        <v>9185</v>
      </c>
      <c r="M5">
        <f t="shared" ref="M5:M15" si="8">C5-K5</f>
        <v>0</v>
      </c>
      <c r="N5" t="s">
        <v>76</v>
      </c>
      <c r="O5">
        <v>8</v>
      </c>
      <c r="P5" t="s">
        <v>77</v>
      </c>
    </row>
    <row r="6" spans="2:16" x14ac:dyDescent="0.2">
      <c r="B6" s="3" t="s">
        <v>8</v>
      </c>
      <c r="C6">
        <f>IF(Inventory!F5&lt;0,ABS(Inventory!G5),0)</f>
        <v>58960</v>
      </c>
      <c r="D6" s="4">
        <v>4</v>
      </c>
      <c r="E6">
        <f t="shared" si="0"/>
        <v>16500</v>
      </c>
      <c r="F6">
        <f t="shared" si="1"/>
        <v>13200</v>
      </c>
      <c r="G6">
        <f t="shared" si="5"/>
        <v>13200</v>
      </c>
      <c r="H6">
        <f t="shared" si="2"/>
        <v>29700</v>
      </c>
      <c r="I6">
        <f t="shared" si="6"/>
        <v>42900</v>
      </c>
      <c r="J6">
        <f t="shared" si="3"/>
        <v>29700</v>
      </c>
      <c r="K6">
        <f t="shared" si="7"/>
        <v>42900</v>
      </c>
      <c r="L6">
        <f t="shared" si="4"/>
        <v>29260</v>
      </c>
      <c r="M6">
        <f t="shared" si="8"/>
        <v>16060</v>
      </c>
      <c r="N6" t="s">
        <v>78</v>
      </c>
      <c r="O6">
        <v>8</v>
      </c>
      <c r="P6" t="s">
        <v>77</v>
      </c>
    </row>
    <row r="7" spans="2:16" x14ac:dyDescent="0.2">
      <c r="B7" s="3" t="s">
        <v>9</v>
      </c>
      <c r="C7">
        <f>IF(Inventory!F6&lt;0,ABS(Inventory!G6),0)</f>
        <v>71360</v>
      </c>
      <c r="D7" s="4">
        <v>4</v>
      </c>
      <c r="E7">
        <f t="shared" si="0"/>
        <v>16500</v>
      </c>
      <c r="F7">
        <f t="shared" si="1"/>
        <v>13200</v>
      </c>
      <c r="G7">
        <f t="shared" si="5"/>
        <v>13200</v>
      </c>
      <c r="H7">
        <f t="shared" si="2"/>
        <v>29700</v>
      </c>
      <c r="I7">
        <f t="shared" si="6"/>
        <v>42900</v>
      </c>
      <c r="J7">
        <f t="shared" si="3"/>
        <v>29700</v>
      </c>
      <c r="K7">
        <f t="shared" si="7"/>
        <v>42900</v>
      </c>
      <c r="L7">
        <f t="shared" si="4"/>
        <v>41660</v>
      </c>
      <c r="M7">
        <f t="shared" si="8"/>
        <v>28460</v>
      </c>
    </row>
    <row r="8" spans="2:16" x14ac:dyDescent="0.2">
      <c r="B8" s="3" t="s">
        <v>10</v>
      </c>
      <c r="C8">
        <f>IF(Inventory!F7&lt;0,ABS(Inventory!G7),0)</f>
        <v>74610</v>
      </c>
      <c r="D8" s="4">
        <v>5</v>
      </c>
      <c r="E8">
        <f t="shared" si="0"/>
        <v>20625</v>
      </c>
      <c r="F8">
        <f t="shared" si="1"/>
        <v>16500</v>
      </c>
      <c r="G8">
        <f t="shared" si="5"/>
        <v>16500</v>
      </c>
      <c r="H8">
        <f t="shared" si="2"/>
        <v>37125</v>
      </c>
      <c r="I8">
        <f t="shared" si="6"/>
        <v>53625</v>
      </c>
      <c r="J8">
        <f t="shared" si="3"/>
        <v>37125</v>
      </c>
      <c r="K8">
        <f t="shared" si="7"/>
        <v>53625</v>
      </c>
      <c r="L8">
        <f t="shared" si="4"/>
        <v>37485</v>
      </c>
      <c r="M8">
        <f t="shared" si="8"/>
        <v>20985</v>
      </c>
      <c r="N8" t="s">
        <v>79</v>
      </c>
      <c r="O8">
        <f>SUM(O4:O6)</f>
        <v>26</v>
      </c>
    </row>
    <row r="9" spans="2:16" x14ac:dyDescent="0.2">
      <c r="B9" s="3" t="s">
        <v>11</v>
      </c>
      <c r="C9">
        <f>IF(Inventory!F8&lt;0,ABS(Inventory!G8),0)</f>
        <v>0</v>
      </c>
      <c r="D9" s="4">
        <v>4</v>
      </c>
      <c r="E9">
        <f t="shared" si="0"/>
        <v>16500</v>
      </c>
      <c r="F9">
        <f t="shared" si="1"/>
        <v>13200</v>
      </c>
      <c r="G9">
        <f t="shared" si="5"/>
        <v>13200</v>
      </c>
      <c r="H9">
        <f t="shared" si="2"/>
        <v>29700</v>
      </c>
      <c r="I9">
        <f t="shared" si="6"/>
        <v>42900</v>
      </c>
      <c r="J9">
        <f t="shared" si="3"/>
        <v>0</v>
      </c>
      <c r="K9">
        <f t="shared" si="7"/>
        <v>0</v>
      </c>
      <c r="L9">
        <f t="shared" si="4"/>
        <v>0</v>
      </c>
      <c r="M9">
        <f t="shared" si="8"/>
        <v>0</v>
      </c>
    </row>
    <row r="10" spans="2:16" x14ac:dyDescent="0.2">
      <c r="B10" s="3" t="s">
        <v>12</v>
      </c>
      <c r="C10">
        <f>IF(Inventory!F9&lt;0,ABS(Inventory!G9),0)</f>
        <v>79110</v>
      </c>
      <c r="D10" s="4">
        <v>3</v>
      </c>
      <c r="E10">
        <f t="shared" si="0"/>
        <v>12375</v>
      </c>
      <c r="F10">
        <f t="shared" si="1"/>
        <v>9900</v>
      </c>
      <c r="G10">
        <f t="shared" si="5"/>
        <v>9900</v>
      </c>
      <c r="H10">
        <f t="shared" si="2"/>
        <v>22275</v>
      </c>
      <c r="I10">
        <f t="shared" si="6"/>
        <v>32175</v>
      </c>
      <c r="J10">
        <f t="shared" si="3"/>
        <v>22275</v>
      </c>
      <c r="K10">
        <f t="shared" si="7"/>
        <v>32175</v>
      </c>
      <c r="L10">
        <f t="shared" si="4"/>
        <v>56835</v>
      </c>
      <c r="M10">
        <f t="shared" si="8"/>
        <v>46935</v>
      </c>
      <c r="N10" t="s">
        <v>80</v>
      </c>
      <c r="O10">
        <f>16500/5</f>
        <v>3300</v>
      </c>
    </row>
    <row r="11" spans="2:16" x14ac:dyDescent="0.2">
      <c r="B11" s="3" t="s">
        <v>13</v>
      </c>
      <c r="C11">
        <f>IF(Inventory!F10&lt;0,ABS(Inventory!G10),0)</f>
        <v>104610</v>
      </c>
      <c r="D11" s="4">
        <v>3</v>
      </c>
      <c r="E11">
        <f t="shared" si="0"/>
        <v>12375</v>
      </c>
      <c r="F11">
        <f t="shared" si="1"/>
        <v>9900</v>
      </c>
      <c r="G11">
        <f t="shared" si="5"/>
        <v>9900</v>
      </c>
      <c r="H11">
        <f t="shared" si="2"/>
        <v>22275</v>
      </c>
      <c r="I11">
        <f t="shared" si="6"/>
        <v>32175</v>
      </c>
      <c r="J11">
        <f t="shared" si="3"/>
        <v>22275</v>
      </c>
      <c r="K11">
        <f t="shared" si="7"/>
        <v>32175</v>
      </c>
      <c r="L11">
        <f t="shared" si="4"/>
        <v>82335</v>
      </c>
      <c r="M11">
        <f t="shared" si="8"/>
        <v>72435</v>
      </c>
      <c r="N11" t="s">
        <v>81</v>
      </c>
      <c r="O11">
        <f>O10/8</f>
        <v>412.5</v>
      </c>
    </row>
    <row r="12" spans="2:16" x14ac:dyDescent="0.2">
      <c r="B12" s="3" t="s">
        <v>14</v>
      </c>
      <c r="C12">
        <f>IF(Inventory!F11&lt;0,ABS(Inventory!G11),0)</f>
        <v>0</v>
      </c>
      <c r="D12" s="4">
        <v>4</v>
      </c>
      <c r="E12">
        <f t="shared" si="0"/>
        <v>16500</v>
      </c>
      <c r="F12">
        <f t="shared" si="1"/>
        <v>13200</v>
      </c>
      <c r="G12">
        <f t="shared" si="5"/>
        <v>13200</v>
      </c>
      <c r="H12">
        <f t="shared" si="2"/>
        <v>29700</v>
      </c>
      <c r="I12">
        <f t="shared" si="6"/>
        <v>42900</v>
      </c>
      <c r="J12">
        <f t="shared" si="3"/>
        <v>0</v>
      </c>
      <c r="K12">
        <f t="shared" si="7"/>
        <v>0</v>
      </c>
      <c r="L12">
        <f t="shared" si="4"/>
        <v>0</v>
      </c>
      <c r="M12">
        <f t="shared" si="8"/>
        <v>0</v>
      </c>
    </row>
    <row r="13" spans="2:16" x14ac:dyDescent="0.2">
      <c r="B13" s="3" t="s">
        <v>15</v>
      </c>
      <c r="C13">
        <f>IF(Inventory!F12&lt;0,ABS(Inventory!G12),0)</f>
        <v>0</v>
      </c>
      <c r="D13" s="4">
        <v>5</v>
      </c>
      <c r="E13">
        <f t="shared" si="0"/>
        <v>20625</v>
      </c>
      <c r="F13">
        <f t="shared" si="1"/>
        <v>16500</v>
      </c>
      <c r="G13">
        <f t="shared" si="5"/>
        <v>16500</v>
      </c>
      <c r="H13">
        <f t="shared" si="2"/>
        <v>37125</v>
      </c>
      <c r="I13">
        <f t="shared" si="6"/>
        <v>53625</v>
      </c>
      <c r="J13">
        <f t="shared" si="3"/>
        <v>0</v>
      </c>
      <c r="K13">
        <f t="shared" si="7"/>
        <v>0</v>
      </c>
      <c r="L13">
        <f t="shared" si="4"/>
        <v>0</v>
      </c>
      <c r="M13">
        <f t="shared" si="8"/>
        <v>0</v>
      </c>
    </row>
    <row r="14" spans="2:16" x14ac:dyDescent="0.2">
      <c r="B14" s="3" t="s">
        <v>16</v>
      </c>
      <c r="C14">
        <f>IF(Inventory!F13&lt;0,ABS(Inventory!G13),0)</f>
        <v>102610</v>
      </c>
      <c r="D14" s="4">
        <v>4</v>
      </c>
      <c r="E14">
        <f t="shared" si="0"/>
        <v>16500</v>
      </c>
      <c r="F14">
        <f t="shared" si="1"/>
        <v>13200</v>
      </c>
      <c r="G14">
        <f t="shared" si="5"/>
        <v>13200</v>
      </c>
      <c r="H14">
        <f t="shared" si="2"/>
        <v>29700</v>
      </c>
      <c r="I14">
        <f t="shared" si="6"/>
        <v>42900</v>
      </c>
      <c r="J14">
        <f t="shared" si="3"/>
        <v>29700</v>
      </c>
      <c r="K14">
        <f t="shared" si="7"/>
        <v>42900</v>
      </c>
      <c r="L14">
        <f t="shared" si="4"/>
        <v>72910</v>
      </c>
      <c r="M14">
        <f t="shared" si="8"/>
        <v>59710</v>
      </c>
    </row>
    <row r="15" spans="2:16" ht="16" thickBot="1" x14ac:dyDescent="0.25">
      <c r="B15" s="5" t="s">
        <v>17</v>
      </c>
      <c r="C15">
        <f>IF(Inventory!F14&lt;0,ABS(Inventory!G14),0)</f>
        <v>132610</v>
      </c>
      <c r="D15" s="6">
        <v>4</v>
      </c>
      <c r="E15">
        <f t="shared" si="0"/>
        <v>16500</v>
      </c>
      <c r="F15">
        <f t="shared" si="1"/>
        <v>13200</v>
      </c>
      <c r="G15">
        <f t="shared" si="5"/>
        <v>13200</v>
      </c>
      <c r="H15">
        <f t="shared" si="2"/>
        <v>29700</v>
      </c>
      <c r="I15">
        <f t="shared" si="6"/>
        <v>42900</v>
      </c>
      <c r="J15">
        <f t="shared" si="3"/>
        <v>29700</v>
      </c>
      <c r="K15">
        <f t="shared" si="7"/>
        <v>42900</v>
      </c>
      <c r="L15">
        <f t="shared" si="4"/>
        <v>102910</v>
      </c>
      <c r="M15">
        <f t="shared" si="8"/>
        <v>89710</v>
      </c>
    </row>
    <row r="16" spans="2:16" x14ac:dyDescent="0.2">
      <c r="J16">
        <f>SUM(J2:J15)</f>
        <v>228270</v>
      </c>
      <c r="K16">
        <f>SUM(K4:K15)</f>
        <v>326555</v>
      </c>
    </row>
  </sheetData>
  <mergeCells count="2">
    <mergeCell ref="N2:P2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377B-EADE-4BD2-B48B-330DD099D9CA}">
  <dimension ref="B1:G15"/>
  <sheetViews>
    <sheetView workbookViewId="0">
      <selection activeCell="F16" sqref="F16"/>
    </sheetView>
  </sheetViews>
  <sheetFormatPr baseColWidth="10" defaultColWidth="8.83203125" defaultRowHeight="15" x14ac:dyDescent="0.2"/>
  <sheetData>
    <row r="1" spans="2:7" ht="16" thickBot="1" x14ac:dyDescent="0.25"/>
    <row r="2" spans="2:7" ht="16" thickBot="1" x14ac:dyDescent="0.25">
      <c r="B2" s="18" t="s">
        <v>1</v>
      </c>
      <c r="C2" t="s">
        <v>94</v>
      </c>
      <c r="D2" t="s">
        <v>95</v>
      </c>
      <c r="E2" t="s">
        <v>83</v>
      </c>
      <c r="G2" t="s">
        <v>73</v>
      </c>
    </row>
    <row r="3" spans="2:7" x14ac:dyDescent="0.2">
      <c r="B3" s="3" t="s">
        <v>6</v>
      </c>
      <c r="C3">
        <f>'Overtime Model'!L4</f>
        <v>0</v>
      </c>
      <c r="D3">
        <f>'Overtime Model'!M4</f>
        <v>0</v>
      </c>
      <c r="E3">
        <f>C3</f>
        <v>0</v>
      </c>
      <c r="F3">
        <f>D3</f>
        <v>0</v>
      </c>
      <c r="G3">
        <f>C3-E3</f>
        <v>0</v>
      </c>
    </row>
    <row r="4" spans="2:7" x14ac:dyDescent="0.2">
      <c r="B4" s="3" t="s">
        <v>7</v>
      </c>
      <c r="C4">
        <f>'Overtime Model'!L5</f>
        <v>9185</v>
      </c>
      <c r="D4">
        <f>'Overtime Model'!M5</f>
        <v>0</v>
      </c>
      <c r="E4">
        <f t="shared" ref="E4:F14" si="0">C4</f>
        <v>9185</v>
      </c>
      <c r="F4">
        <f t="shared" si="0"/>
        <v>0</v>
      </c>
      <c r="G4">
        <f t="shared" ref="G4:G14" si="1">C4-E4</f>
        <v>0</v>
      </c>
    </row>
    <row r="5" spans="2:7" x14ac:dyDescent="0.2">
      <c r="B5" s="3" t="s">
        <v>8</v>
      </c>
      <c r="C5">
        <f>'Overtime Model'!L6</f>
        <v>29260</v>
      </c>
      <c r="D5">
        <f>'Overtime Model'!M6</f>
        <v>16060</v>
      </c>
      <c r="E5">
        <f t="shared" si="0"/>
        <v>29260</v>
      </c>
      <c r="F5">
        <f t="shared" si="0"/>
        <v>16060</v>
      </c>
      <c r="G5">
        <f t="shared" si="1"/>
        <v>0</v>
      </c>
    </row>
    <row r="6" spans="2:7" x14ac:dyDescent="0.2">
      <c r="B6" s="3" t="s">
        <v>9</v>
      </c>
      <c r="C6">
        <f>'Overtime Model'!L7</f>
        <v>41660</v>
      </c>
      <c r="D6">
        <f>'Overtime Model'!M7</f>
        <v>28460</v>
      </c>
      <c r="E6">
        <f t="shared" si="0"/>
        <v>41660</v>
      </c>
      <c r="F6">
        <f t="shared" si="0"/>
        <v>28460</v>
      </c>
      <c r="G6">
        <f t="shared" si="1"/>
        <v>0</v>
      </c>
    </row>
    <row r="7" spans="2:7" x14ac:dyDescent="0.2">
      <c r="B7" s="3" t="s">
        <v>10</v>
      </c>
      <c r="C7">
        <f>'Overtime Model'!L8</f>
        <v>37485</v>
      </c>
      <c r="D7">
        <f>'Overtime Model'!M8</f>
        <v>20985</v>
      </c>
      <c r="E7">
        <f t="shared" si="0"/>
        <v>37485</v>
      </c>
      <c r="F7">
        <f t="shared" si="0"/>
        <v>20985</v>
      </c>
      <c r="G7">
        <f t="shared" si="1"/>
        <v>0</v>
      </c>
    </row>
    <row r="8" spans="2:7" x14ac:dyDescent="0.2">
      <c r="B8" s="3" t="s">
        <v>11</v>
      </c>
      <c r="C8">
        <f>'Overtime Model'!L9</f>
        <v>0</v>
      </c>
      <c r="D8">
        <f>'Overtime Model'!M9</f>
        <v>0</v>
      </c>
      <c r="E8">
        <f t="shared" si="0"/>
        <v>0</v>
      </c>
      <c r="F8">
        <f t="shared" si="0"/>
        <v>0</v>
      </c>
      <c r="G8">
        <f t="shared" si="1"/>
        <v>0</v>
      </c>
    </row>
    <row r="9" spans="2:7" x14ac:dyDescent="0.2">
      <c r="B9" s="3" t="s">
        <v>12</v>
      </c>
      <c r="C9">
        <f>'Overtime Model'!L10</f>
        <v>56835</v>
      </c>
      <c r="D9">
        <f>'Overtime Model'!M10</f>
        <v>46935</v>
      </c>
      <c r="E9">
        <f t="shared" si="0"/>
        <v>56835</v>
      </c>
      <c r="F9">
        <f t="shared" si="0"/>
        <v>46935</v>
      </c>
      <c r="G9">
        <f t="shared" si="1"/>
        <v>0</v>
      </c>
    </row>
    <row r="10" spans="2:7" x14ac:dyDescent="0.2">
      <c r="B10" s="3" t="s">
        <v>13</v>
      </c>
      <c r="C10">
        <f>'Overtime Model'!L11</f>
        <v>82335</v>
      </c>
      <c r="D10">
        <f>'Overtime Model'!M11</f>
        <v>72435</v>
      </c>
      <c r="E10">
        <f t="shared" si="0"/>
        <v>82335</v>
      </c>
      <c r="F10">
        <f t="shared" si="0"/>
        <v>72435</v>
      </c>
      <c r="G10">
        <f t="shared" si="1"/>
        <v>0</v>
      </c>
    </row>
    <row r="11" spans="2:7" x14ac:dyDescent="0.2">
      <c r="B11" s="3" t="s">
        <v>14</v>
      </c>
      <c r="C11">
        <f>'Overtime Model'!L12</f>
        <v>0</v>
      </c>
      <c r="D11">
        <f>'Overtime Model'!M12</f>
        <v>0</v>
      </c>
      <c r="E11">
        <f t="shared" si="0"/>
        <v>0</v>
      </c>
      <c r="F11">
        <f t="shared" si="0"/>
        <v>0</v>
      </c>
      <c r="G11">
        <f t="shared" si="1"/>
        <v>0</v>
      </c>
    </row>
    <row r="12" spans="2:7" x14ac:dyDescent="0.2">
      <c r="B12" s="3" t="s">
        <v>15</v>
      </c>
      <c r="C12">
        <f>'Overtime Model'!L13</f>
        <v>0</v>
      </c>
      <c r="D12">
        <f>'Overtime Model'!M13</f>
        <v>0</v>
      </c>
      <c r="E12">
        <f t="shared" si="0"/>
        <v>0</v>
      </c>
      <c r="F12">
        <f t="shared" si="0"/>
        <v>0</v>
      </c>
      <c r="G12">
        <f t="shared" si="1"/>
        <v>0</v>
      </c>
    </row>
    <row r="13" spans="2:7" x14ac:dyDescent="0.2">
      <c r="B13" s="3" t="s">
        <v>16</v>
      </c>
      <c r="C13">
        <f>'Overtime Model'!L14</f>
        <v>72910</v>
      </c>
      <c r="D13">
        <f>'Overtime Model'!M14</f>
        <v>59710</v>
      </c>
      <c r="E13">
        <f t="shared" si="0"/>
        <v>72910</v>
      </c>
      <c r="F13">
        <f t="shared" si="0"/>
        <v>59710</v>
      </c>
      <c r="G13">
        <f t="shared" si="1"/>
        <v>0</v>
      </c>
    </row>
    <row r="14" spans="2:7" ht="16" thickBot="1" x14ac:dyDescent="0.25">
      <c r="B14" s="5" t="s">
        <v>17</v>
      </c>
      <c r="C14">
        <f>'Overtime Model'!L15</f>
        <v>102910</v>
      </c>
      <c r="D14">
        <f>'Overtime Model'!M15</f>
        <v>89710</v>
      </c>
      <c r="E14">
        <f t="shared" si="0"/>
        <v>102910</v>
      </c>
      <c r="F14">
        <f t="shared" si="0"/>
        <v>89710</v>
      </c>
      <c r="G14">
        <f t="shared" si="1"/>
        <v>0</v>
      </c>
    </row>
    <row r="15" spans="2:7" x14ac:dyDescent="0.2">
      <c r="E15">
        <f>SUM(E2:E14)</f>
        <v>432580</v>
      </c>
      <c r="F15">
        <f>SUM(F3:F14)</f>
        <v>334295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8C4A-211C-4725-B18E-38ABA533F522}">
  <dimension ref="B1:E6"/>
  <sheetViews>
    <sheetView workbookViewId="0">
      <selection activeCell="E6" sqref="E6"/>
    </sheetView>
  </sheetViews>
  <sheetFormatPr baseColWidth="10" defaultColWidth="8.83203125" defaultRowHeight="15" x14ac:dyDescent="0.2"/>
  <cols>
    <col min="2" max="2" width="17.5" bestFit="1" customWidth="1"/>
    <col min="3" max="3" width="14" bestFit="1" customWidth="1"/>
    <col min="4" max="4" width="11.1640625" bestFit="1" customWidth="1"/>
  </cols>
  <sheetData>
    <row r="1" spans="2:5" x14ac:dyDescent="0.2">
      <c r="C1" t="s">
        <v>92</v>
      </c>
      <c r="D1" t="s">
        <v>93</v>
      </c>
    </row>
    <row r="2" spans="2:5" x14ac:dyDescent="0.2">
      <c r="B2" t="s">
        <v>84</v>
      </c>
      <c r="C2">
        <f>'Overtime Model'!J16*1.5</f>
        <v>342405</v>
      </c>
      <c r="D2">
        <f>C2+('Overtime Model'!K16-'Overtime Model'!J16)*2</f>
        <v>538975</v>
      </c>
    </row>
    <row r="4" spans="2:5" x14ac:dyDescent="0.2">
      <c r="B4" t="s">
        <v>58</v>
      </c>
      <c r="C4">
        <f>'Subcontracting '!E15*1.25</f>
        <v>540725</v>
      </c>
      <c r="D4">
        <f>'Subcontracting '!F15*1.25</f>
        <v>417868.75</v>
      </c>
    </row>
    <row r="6" spans="2:5" x14ac:dyDescent="0.2">
      <c r="B6" t="s">
        <v>97</v>
      </c>
      <c r="C6">
        <f>C4+C2</f>
        <v>883130</v>
      </c>
      <c r="D6">
        <f>D4+D2</f>
        <v>956843.75</v>
      </c>
      <c r="E6">
        <f>D6-C6</f>
        <v>73713.75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Appendix 1.1</vt:lpstr>
      <vt:lpstr>Appendix 1.2</vt:lpstr>
      <vt:lpstr>Appendix 1.3</vt:lpstr>
      <vt:lpstr>Appendix 1.5</vt:lpstr>
      <vt:lpstr>Inputs and Assumptions</vt:lpstr>
      <vt:lpstr>Demand</vt:lpstr>
      <vt:lpstr>Capacity Gap</vt:lpstr>
      <vt:lpstr>Inventory</vt:lpstr>
      <vt:lpstr>Overtime Model</vt:lpstr>
      <vt:lpstr>Subcontracting </vt:lpstr>
      <vt:lpstr>Total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Pandit</dc:creator>
  <cp:lastModifiedBy>Ashutosh  Sharma</cp:lastModifiedBy>
  <dcterms:created xsi:type="dcterms:W3CDTF">2026-01-30T06:19:30Z</dcterms:created>
  <dcterms:modified xsi:type="dcterms:W3CDTF">2026-02-01T17:44:42Z</dcterms:modified>
</cp:coreProperties>
</file>